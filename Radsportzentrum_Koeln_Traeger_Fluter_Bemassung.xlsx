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Fluter" sheetId="2" state="visible" r:id="rId4"/>
    <sheet name="Bezugspunkte" sheetId="3" state="visible" r:id="rId5"/>
    <sheet name="Vorschaltgeräte" sheetId="4" state="visible" r:id="rId6"/>
    <sheet name="Trägerpunkte" sheetId="5" state="visible" r:id="rId7"/>
  </sheets>
  <definedNames>
    <definedName function="false" hidden="true" localSheetId="2" name="_xlnm._FilterDatabase" vbProcedure="false">Bezugspunkte!$A$1:$J$1</definedName>
    <definedName function="false" hidden="true" localSheetId="1" name="_xlnm._FilterDatabase" vbProcedure="false">Fluter!$A$1:$N$1</definedName>
    <definedName function="false" hidden="true" localSheetId="4" name="_xlnm._FilterDatabase" vbProcedure="false">Trägerpunkte!$A$1:$F$1</definedName>
    <definedName function="false" hidden="true" localSheetId="3" name="_xlnm._FilterDatabase" vbProcedure="false">Vorschaltgeräte!$A$1:$F$1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<sst xmlns="http://schemas.openxmlformats.org/spreadsheetml/2006/main" count="2870" uniqueCount="662">
  <si>
    <t xml:space="preserve">Radsportzentrum Köln-Müngersdorf · Beleuchtung Radbahn / Spielfläche</t>
  </si>
  <si>
    <t xml:space="preserve">Fluterliste mit Abständen ab den weiß-roten Bezugspunkten (Grundriss Dachkonstruktion, Layout 2)</t>
  </si>
  <si>
    <t xml:space="preserve">Maßstab des PDFs</t>
  </si>
  <si>
    <t xml:space="preserve">1:200</t>
  </si>
  <si>
    <t xml:space="preserve">Abgeleitet aus dem Basketballfeld im Plan: Innenmaß 28,0 x 15,0 m = 397,1 x 212,6 pt; umlaufend 2,0 m Auslauf. Das Schriftfeld nennt 1:50 (Original-Layout 1950 x 841 mm), gilt aber nicht für dieses PDF.</t>
  </si>
  <si>
    <t xml:space="preserve">Punkte pro Meter</t>
  </si>
  <si>
    <t xml:space="preserve">Umrechnung PDF-Punkte in Meter</t>
  </si>
  <si>
    <t xml:space="preserve">Messgrundlage</t>
  </si>
  <si>
    <t xml:space="preserve">PDF-Vektordaten</t>
  </si>
  <si>
    <t xml:space="preserve">Abstände entlang der Trägerachse, gemessen auf die Symbolmitte der Fluter; Genauigkeit ca. ±0,05 m</t>
  </si>
  <si>
    <t xml:space="preserve">Koordinatenursprung</t>
  </si>
  <si>
    <t xml:space="preserve">Q4-M</t>
  </si>
  <si>
    <t xml:space="preserve">Mittelpunkt Querträger Q4 = Spielfeldmitte; X nach rechts, Y nach oben (Blattansicht)</t>
  </si>
  <si>
    <t xml:space="preserve">Bezugspunkte Querträger</t>
  </si>
  <si>
    <t xml:space="preserve">Q1-M bis Q7-M</t>
  </si>
  <si>
    <t xml:space="preserve">Messung nach links und rechts bis zum Trägerende</t>
  </si>
  <si>
    <t xml:space="preserve">Bezugspunkte Ringe</t>
  </si>
  <si>
    <t xml:space="preserve">jeder 2. Ringpunkt</t>
  </si>
  <si>
    <t xml:space="preserve">Ab KA01 bzw. KI01 abwechselnd weiß-rot / gelb (T-Stöße am Innenring mitgezählt); Messung beidseitig bis zum nächsten gelben Punkt</t>
  </si>
  <si>
    <t xml:space="preserve">UZS</t>
  </si>
  <si>
    <t xml:space="preserve">Uhrzeigersinn</t>
  </si>
  <si>
    <t xml:space="preserve">Seite bei Ringen: gegen UZS = Richtung vorheriger Punkt, im UZS = Richtung nächster Punkt</t>
  </si>
  <si>
    <t xml:space="preserve">Restmaß</t>
  </si>
  <si>
    <t xml:space="preserve">Abstand Bezugspunkt-Endpunkt minus Abstand des Fluters</t>
  </si>
  <si>
    <t xml:space="preserve">Kettenmaß</t>
  </si>
  <si>
    <t xml:space="preserve">Abstand zum vorherigen Fluter auf derselben Seite desselben Bezugspunkts (erster Fluter: ab Bezugspunkt)</t>
  </si>
  <si>
    <t xml:space="preserve">Fluter je Leuchtentyp</t>
  </si>
  <si>
    <t xml:space="preserve">Anzahl</t>
  </si>
  <si>
    <t xml:space="preserve">Leuchte</t>
  </si>
  <si>
    <t xml:space="preserve">LS 01</t>
  </si>
  <si>
    <t xml:space="preserve">LED Fluter Sirius 1000W, 5.000K (Ra1-Ra66, Ri1-Ri74)</t>
  </si>
  <si>
    <t xml:space="preserve">LS 01.1</t>
  </si>
  <si>
    <t xml:space="preserve">LED Fluter Sirius 1000W, 5.700K (B1-B48)</t>
  </si>
  <si>
    <t xml:space="preserve">LS 02</t>
  </si>
  <si>
    <t xml:space="preserve">LED Fluter Sirius 500, 5.700K (B49-B72)</t>
  </si>
  <si>
    <t xml:space="preserve">LS 04</t>
  </si>
  <si>
    <t xml:space="preserve">LED Fluter Sirius 500, 5.000K (A1-A40)</t>
  </si>
  <si>
    <t xml:space="preserve">LS 06</t>
  </si>
  <si>
    <t xml:space="preserve">LED Fluter FL21 Mini, 4.000K (Si1-Si65)</t>
  </si>
  <si>
    <t xml:space="preserve">Summe</t>
  </si>
  <si>
    <t xml:space="preserve">Fluter je Bauteil</t>
  </si>
  <si>
    <t xml:space="preserve">Querträger Q1</t>
  </si>
  <si>
    <t xml:space="preserve">Querträger Q2</t>
  </si>
  <si>
    <t xml:space="preserve">Querträger Q3</t>
  </si>
  <si>
    <t xml:space="preserve">Querträger Q4</t>
  </si>
  <si>
    <t xml:space="preserve">Querträger Q5</t>
  </si>
  <si>
    <t xml:space="preserve">Querträger Q6</t>
  </si>
  <si>
    <t xml:space="preserve">Querträger Q7</t>
  </si>
  <si>
    <t xml:space="preserve">Außenring</t>
  </si>
  <si>
    <t xml:space="preserve">Innenring</t>
  </si>
  <si>
    <t xml:space="preserve">Vorschaltgeräte gesamt</t>
  </si>
  <si>
    <t xml:space="preserve">Tabellenblätter</t>
  </si>
  <si>
    <t xml:space="preserve">Fluter</t>
  </si>
  <si>
    <t xml:space="preserve">Alle Fluter mit Bezugspunkt, Seite, Abstand, Endpunkt, Restmaß, Kettenmaß, Koordinaten</t>
  </si>
  <si>
    <t xml:space="preserve">Bezugspunkte</t>
  </si>
  <si>
    <t xml:space="preserve">Weiß-rote Bezugspunkte mit beiden Endpunkten und Längen</t>
  </si>
  <si>
    <t xml:space="preserve">Vorschaltgeräte</t>
  </si>
  <si>
    <t xml:space="preserve">Lage der Vorschaltgeräte (nur Information)</t>
  </si>
  <si>
    <t xml:space="preserve">Trägerpunkte</t>
  </si>
  <si>
    <t xml:space="preserve">Alle Knick-, T- und Mittelpunkte mit Farbe und Koordinaten</t>
  </si>
  <si>
    <t xml:space="preserve">Quelle: PDF "153954_Radsportzentrum_Koeln_Layout2_ohne_Beschriftung", ausgewertet mit PyMuPDF; Plan mit Markierungen: Radsportzentrum_Koeln_Traeger_Knotenpunkte.pdf</t>
  </si>
  <si>
    <t xml:space="preserve">Nr.</t>
  </si>
  <si>
    <t xml:space="preserve">Leuchtentyp</t>
  </si>
  <si>
    <t xml:space="preserve">Bauteil</t>
  </si>
  <si>
    <t xml:space="preserve">Bezugspunkt</t>
  </si>
  <si>
    <t xml:space="preserve">Seite</t>
  </si>
  <si>
    <t xml:space="preserve">Abstand ab Bezugspunkt [m]</t>
  </si>
  <si>
    <t xml:space="preserve">Endpunkt (nächster gelber Punkt)</t>
  </si>
  <si>
    <t xml:space="preserve">Abstand Bezugspunkt - Endpunkt [m]</t>
  </si>
  <si>
    <t xml:space="preserve">Restmaß Fluter - Endpunkt [m]</t>
  </si>
  <si>
    <t xml:space="preserve">Kettenmaß zum vorherigen Fluter [m]</t>
  </si>
  <si>
    <t xml:space="preserve">X [m]</t>
  </si>
  <si>
    <t xml:space="preserve">Y [m]</t>
  </si>
  <si>
    <t xml:space="preserve">A3</t>
  </si>
  <si>
    <t xml:space="preserve">LED Fluter Sirius 500, 5.000K</t>
  </si>
  <si>
    <t xml:space="preserve">Q1-M</t>
  </si>
  <si>
    <t xml:space="preserve">links</t>
  </si>
  <si>
    <t xml:space="preserve">Si31</t>
  </si>
  <si>
    <t xml:space="preserve">LED Fluter FL21 Mini, 4.000K</t>
  </si>
  <si>
    <t xml:space="preserve">Si30</t>
  </si>
  <si>
    <t xml:space="preserve">A1</t>
  </si>
  <si>
    <t xml:space="preserve">A2</t>
  </si>
  <si>
    <t xml:space="preserve">A4</t>
  </si>
  <si>
    <t xml:space="preserve">rechts</t>
  </si>
  <si>
    <t xml:space="preserve">Si32</t>
  </si>
  <si>
    <t xml:space="preserve">Si33</t>
  </si>
  <si>
    <t xml:space="preserve">A5</t>
  </si>
  <si>
    <t xml:space="preserve">A6</t>
  </si>
  <si>
    <t xml:space="preserve">B5</t>
  </si>
  <si>
    <t xml:space="preserve">LED Fluter Sirius 1000W, 5.700K</t>
  </si>
  <si>
    <t xml:space="preserve">Q2-M</t>
  </si>
  <si>
    <t xml:space="preserve">A10</t>
  </si>
  <si>
    <t xml:space="preserve">B4</t>
  </si>
  <si>
    <t xml:space="preserve">A9</t>
  </si>
  <si>
    <t xml:space="preserve">B3</t>
  </si>
  <si>
    <t xml:space="preserve">A8</t>
  </si>
  <si>
    <t xml:space="preserve">A7</t>
  </si>
  <si>
    <t xml:space="preserve">B2</t>
  </si>
  <si>
    <t xml:space="preserve">Si34</t>
  </si>
  <si>
    <t xml:space="preserve">B1</t>
  </si>
  <si>
    <t xml:space="preserve">B6</t>
  </si>
  <si>
    <t xml:space="preserve">A11</t>
  </si>
  <si>
    <t xml:space="preserve">B7</t>
  </si>
  <si>
    <t xml:space="preserve">A12</t>
  </si>
  <si>
    <t xml:space="preserve">B8</t>
  </si>
  <si>
    <t xml:space="preserve">A13</t>
  </si>
  <si>
    <t xml:space="preserve">A14</t>
  </si>
  <si>
    <t xml:space="preserve">B9</t>
  </si>
  <si>
    <t xml:space="preserve">Si35</t>
  </si>
  <si>
    <t xml:space="preserve">B10</t>
  </si>
  <si>
    <t xml:space="preserve">Si41</t>
  </si>
  <si>
    <t xml:space="preserve">Q3-M</t>
  </si>
  <si>
    <t xml:space="preserve">Si40</t>
  </si>
  <si>
    <t xml:space="preserve">B52</t>
  </si>
  <si>
    <t xml:space="preserve">LED Fluter Sirius 500, 5.700K</t>
  </si>
  <si>
    <t xml:space="preserve">B51</t>
  </si>
  <si>
    <t xml:space="preserve">A16</t>
  </si>
  <si>
    <t xml:space="preserve">A15</t>
  </si>
  <si>
    <t xml:space="preserve">B50</t>
  </si>
  <si>
    <t xml:space="preserve">B49</t>
  </si>
  <si>
    <t xml:space="preserve">Si39</t>
  </si>
  <si>
    <t xml:space="preserve">Si38</t>
  </si>
  <si>
    <t xml:space="preserve">Si37</t>
  </si>
  <si>
    <t xml:space="preserve">Si36</t>
  </si>
  <si>
    <t xml:space="preserve">B44</t>
  </si>
  <si>
    <t xml:space="preserve">Si42</t>
  </si>
  <si>
    <t xml:space="preserve">Si43</t>
  </si>
  <si>
    <t xml:space="preserve">B53</t>
  </si>
  <si>
    <t xml:space="preserve">B54</t>
  </si>
  <si>
    <t xml:space="preserve">A17</t>
  </si>
  <si>
    <t xml:space="preserve">A18</t>
  </si>
  <si>
    <t xml:space="preserve">B55</t>
  </si>
  <si>
    <t xml:space="preserve">B56</t>
  </si>
  <si>
    <t xml:space="preserve">Si44</t>
  </si>
  <si>
    <t xml:space="preserve">Si45</t>
  </si>
  <si>
    <t xml:space="preserve">Si46</t>
  </si>
  <si>
    <t xml:space="preserve">Si47</t>
  </si>
  <si>
    <t xml:space="preserve">B60</t>
  </si>
  <si>
    <t xml:space="preserve">B59</t>
  </si>
  <si>
    <t xml:space="preserve">B58</t>
  </si>
  <si>
    <t xml:space="preserve">B57</t>
  </si>
  <si>
    <t xml:space="preserve">A20</t>
  </si>
  <si>
    <t xml:space="preserve">A19</t>
  </si>
  <si>
    <t xml:space="preserve">B61</t>
  </si>
  <si>
    <t xml:space="preserve">B62</t>
  </si>
  <si>
    <t xml:space="preserve">B63</t>
  </si>
  <si>
    <t xml:space="preserve">B64</t>
  </si>
  <si>
    <t xml:space="preserve">A21</t>
  </si>
  <si>
    <t xml:space="preserve">A22</t>
  </si>
  <si>
    <t xml:space="preserve">Si53</t>
  </si>
  <si>
    <t xml:space="preserve">Q5-M</t>
  </si>
  <si>
    <t xml:space="preserve">Si52</t>
  </si>
  <si>
    <t xml:space="preserve">B68</t>
  </si>
  <si>
    <t xml:space="preserve">B67</t>
  </si>
  <si>
    <t xml:space="preserve">A24</t>
  </si>
  <si>
    <t xml:space="preserve">A23</t>
  </si>
  <si>
    <t xml:space="preserve">B66</t>
  </si>
  <si>
    <t xml:space="preserve">B65</t>
  </si>
  <si>
    <t xml:space="preserve">Si51</t>
  </si>
  <si>
    <t xml:space="preserve">Si50</t>
  </si>
  <si>
    <t xml:space="preserve">Si49</t>
  </si>
  <si>
    <t xml:space="preserve">Si48</t>
  </si>
  <si>
    <t xml:space="preserve">B39</t>
  </si>
  <si>
    <t xml:space="preserve">Si54</t>
  </si>
  <si>
    <t xml:space="preserve">Si55</t>
  </si>
  <si>
    <t xml:space="preserve">B69</t>
  </si>
  <si>
    <t xml:space="preserve">B70</t>
  </si>
  <si>
    <t xml:space="preserve">A25</t>
  </si>
  <si>
    <t xml:space="preserve">A26</t>
  </si>
  <si>
    <t xml:space="preserve">B71</t>
  </si>
  <si>
    <t xml:space="preserve">B72</t>
  </si>
  <si>
    <t xml:space="preserve">Si56</t>
  </si>
  <si>
    <t xml:space="preserve">Si57</t>
  </si>
  <si>
    <t xml:space="preserve">Si58</t>
  </si>
  <si>
    <t xml:space="preserve">Si59</t>
  </si>
  <si>
    <t xml:space="preserve">B30</t>
  </si>
  <si>
    <t xml:space="preserve">Q6-M</t>
  </si>
  <si>
    <t xml:space="preserve">A30</t>
  </si>
  <si>
    <t xml:space="preserve">B31</t>
  </si>
  <si>
    <t xml:space="preserve">A29</t>
  </si>
  <si>
    <t xml:space="preserve">B32</t>
  </si>
  <si>
    <t xml:space="preserve">A28</t>
  </si>
  <si>
    <t xml:space="preserve">A27</t>
  </si>
  <si>
    <t xml:space="preserve">B33</t>
  </si>
  <si>
    <t xml:space="preserve">Si60</t>
  </si>
  <si>
    <t xml:space="preserve">B34</t>
  </si>
  <si>
    <t xml:space="preserve">B29</t>
  </si>
  <si>
    <t xml:space="preserve">A31</t>
  </si>
  <si>
    <t xml:space="preserve">B28</t>
  </si>
  <si>
    <t xml:space="preserve">A32</t>
  </si>
  <si>
    <t xml:space="preserve">B27</t>
  </si>
  <si>
    <t xml:space="preserve">A33</t>
  </si>
  <si>
    <t xml:space="preserve">A34</t>
  </si>
  <si>
    <t xml:space="preserve">B26</t>
  </si>
  <si>
    <t xml:space="preserve">Si61</t>
  </si>
  <si>
    <t xml:space="preserve">B25</t>
  </si>
  <si>
    <t xml:space="preserve">A37</t>
  </si>
  <si>
    <t xml:space="preserve">Q7-M</t>
  </si>
  <si>
    <t xml:space="preserve">Si63</t>
  </si>
  <si>
    <t xml:space="preserve">Si62</t>
  </si>
  <si>
    <t xml:space="preserve">A36</t>
  </si>
  <si>
    <t xml:space="preserve">A35</t>
  </si>
  <si>
    <t xml:space="preserve">A38</t>
  </si>
  <si>
    <t xml:space="preserve">Si64</t>
  </si>
  <si>
    <t xml:space="preserve">Si65</t>
  </si>
  <si>
    <t xml:space="preserve">A39</t>
  </si>
  <si>
    <t xml:space="preserve">A40</t>
  </si>
  <si>
    <t xml:space="preserve">Ra1</t>
  </si>
  <si>
    <t xml:space="preserve">LED Fluter Sirius 1000W, 5.000K</t>
  </si>
  <si>
    <t xml:space="preserve">KA01</t>
  </si>
  <si>
    <t xml:space="preserve">gegen UZS</t>
  </si>
  <si>
    <t xml:space="preserve">Ra2</t>
  </si>
  <si>
    <t xml:space="preserve">im UZS</t>
  </si>
  <si>
    <t xml:space="preserve">Si1</t>
  </si>
  <si>
    <t xml:space="preserve">Ra3</t>
  </si>
  <si>
    <t xml:space="preserve">Ra4</t>
  </si>
  <si>
    <t xml:space="preserve">KA03</t>
  </si>
  <si>
    <t xml:space="preserve">Si2</t>
  </si>
  <si>
    <t xml:space="preserve">Ra5</t>
  </si>
  <si>
    <t xml:space="preserve">Ra6</t>
  </si>
  <si>
    <t xml:space="preserve">Ra7</t>
  </si>
  <si>
    <t xml:space="preserve">KA05</t>
  </si>
  <si>
    <t xml:space="preserve">Si3</t>
  </si>
  <si>
    <t xml:space="preserve">Ra8</t>
  </si>
  <si>
    <t xml:space="preserve">Si4</t>
  </si>
  <si>
    <t xml:space="preserve">Ra9</t>
  </si>
  <si>
    <t xml:space="preserve">Ra11</t>
  </si>
  <si>
    <t xml:space="preserve">KA07</t>
  </si>
  <si>
    <t xml:space="preserve">Si5</t>
  </si>
  <si>
    <t xml:space="preserve">Ra10</t>
  </si>
  <si>
    <t xml:space="preserve">Si6</t>
  </si>
  <si>
    <t xml:space="preserve">Ra12</t>
  </si>
  <si>
    <t xml:space="preserve">Ra13</t>
  </si>
  <si>
    <t xml:space="preserve">Ra21</t>
  </si>
  <si>
    <t xml:space="preserve">KA09</t>
  </si>
  <si>
    <t xml:space="preserve">Si10</t>
  </si>
  <si>
    <t xml:space="preserve">Ra20</t>
  </si>
  <si>
    <t xml:space="preserve">Ra19</t>
  </si>
  <si>
    <t xml:space="preserve">Ra18</t>
  </si>
  <si>
    <t xml:space="preserve">Si9</t>
  </si>
  <si>
    <t xml:space="preserve">Si8</t>
  </si>
  <si>
    <t xml:space="preserve">Ra17</t>
  </si>
  <si>
    <t xml:space="preserve">Ra16</t>
  </si>
  <si>
    <t xml:space="preserve">Ra15</t>
  </si>
  <si>
    <t xml:space="preserve">Si7</t>
  </si>
  <si>
    <t xml:space="preserve">Ra14</t>
  </si>
  <si>
    <t xml:space="preserve">Ra22</t>
  </si>
  <si>
    <t xml:space="preserve">Ra23</t>
  </si>
  <si>
    <t xml:space="preserve">Si11</t>
  </si>
  <si>
    <t xml:space="preserve">Ra25</t>
  </si>
  <si>
    <t xml:space="preserve">KA11</t>
  </si>
  <si>
    <t xml:space="preserve">Si12</t>
  </si>
  <si>
    <t xml:space="preserve">Ra24</t>
  </si>
  <si>
    <t xml:space="preserve">Ra26</t>
  </si>
  <si>
    <t xml:space="preserve">Si13</t>
  </si>
  <si>
    <t xml:space="preserve">Ra27</t>
  </si>
  <si>
    <t xml:space="preserve">Si14</t>
  </si>
  <si>
    <t xml:space="preserve">KA13</t>
  </si>
  <si>
    <t xml:space="preserve">Ra28</t>
  </si>
  <si>
    <t xml:space="preserve">Ra29</t>
  </si>
  <si>
    <t xml:space="preserve">Ra30</t>
  </si>
  <si>
    <t xml:space="preserve">Si15</t>
  </si>
  <si>
    <t xml:space="preserve">Ra31</t>
  </si>
  <si>
    <t xml:space="preserve">KA15</t>
  </si>
  <si>
    <t xml:space="preserve">Ra32</t>
  </si>
  <si>
    <t xml:space="preserve">Si16</t>
  </si>
  <si>
    <t xml:space="preserve">Ra33</t>
  </si>
  <si>
    <t xml:space="preserve">Ra34</t>
  </si>
  <si>
    <t xml:space="preserve">KA17</t>
  </si>
  <si>
    <t xml:space="preserve">Ra35</t>
  </si>
  <si>
    <t xml:space="preserve">Si17</t>
  </si>
  <si>
    <t xml:space="preserve">Ra36</t>
  </si>
  <si>
    <t xml:space="preserve">Ra37</t>
  </si>
  <si>
    <t xml:space="preserve">KA19</t>
  </si>
  <si>
    <t xml:space="preserve">Si18</t>
  </si>
  <si>
    <t xml:space="preserve">Ra38</t>
  </si>
  <si>
    <t xml:space="preserve">Ra39</t>
  </si>
  <si>
    <t xml:space="preserve">Ra41</t>
  </si>
  <si>
    <t xml:space="preserve">KA21</t>
  </si>
  <si>
    <t xml:space="preserve">Ra40</t>
  </si>
  <si>
    <t xml:space="preserve">Si19</t>
  </si>
  <si>
    <t xml:space="preserve">Si20</t>
  </si>
  <si>
    <t xml:space="preserve">Ra42</t>
  </si>
  <si>
    <t xml:space="preserve">Si21</t>
  </si>
  <si>
    <t xml:space="preserve">KA23</t>
  </si>
  <si>
    <t xml:space="preserve">Ra44</t>
  </si>
  <si>
    <t xml:space="preserve">Ra43</t>
  </si>
  <si>
    <t xml:space="preserve">Ra45</t>
  </si>
  <si>
    <t xml:space="preserve">Ra46</t>
  </si>
  <si>
    <t xml:space="preserve">Ra54</t>
  </si>
  <si>
    <t xml:space="preserve">KA25</t>
  </si>
  <si>
    <t xml:space="preserve">Si24</t>
  </si>
  <si>
    <t xml:space="preserve">Ra53</t>
  </si>
  <si>
    <t xml:space="preserve">Ra52</t>
  </si>
  <si>
    <t xml:space="preserve">Ra51</t>
  </si>
  <si>
    <t xml:space="preserve">Si23</t>
  </si>
  <si>
    <t xml:space="preserve">Ra50</t>
  </si>
  <si>
    <t xml:space="preserve">Ra49</t>
  </si>
  <si>
    <t xml:space="preserve">Ra48</t>
  </si>
  <si>
    <t xml:space="preserve">Si22</t>
  </si>
  <si>
    <t xml:space="preserve">Ra47</t>
  </si>
  <si>
    <t xml:space="preserve">Ra55</t>
  </si>
  <si>
    <t xml:space="preserve">Ra56</t>
  </si>
  <si>
    <t xml:space="preserve">Si25</t>
  </si>
  <si>
    <t xml:space="preserve">Ra58</t>
  </si>
  <si>
    <t xml:space="preserve">KA27</t>
  </si>
  <si>
    <t xml:space="preserve">Ra57</t>
  </si>
  <si>
    <t xml:space="preserve">Ra59</t>
  </si>
  <si>
    <t xml:space="preserve">Si26</t>
  </si>
  <si>
    <t xml:space="preserve">Ra60</t>
  </si>
  <si>
    <t xml:space="preserve">Si27</t>
  </si>
  <si>
    <t xml:space="preserve">KA29</t>
  </si>
  <si>
    <t xml:space="preserve">Ra61</t>
  </si>
  <si>
    <t xml:space="preserve">Ra62</t>
  </si>
  <si>
    <t xml:space="preserve">Ra63</t>
  </si>
  <si>
    <t xml:space="preserve">Si28</t>
  </si>
  <si>
    <t xml:space="preserve">Ra64</t>
  </si>
  <si>
    <t xml:space="preserve">KA31</t>
  </si>
  <si>
    <t xml:space="preserve">Ra65</t>
  </si>
  <si>
    <t xml:space="preserve">Si29</t>
  </si>
  <si>
    <t xml:space="preserve">Ra66</t>
  </si>
  <si>
    <t xml:space="preserve">Ri2</t>
  </si>
  <si>
    <t xml:space="preserve">KI01</t>
  </si>
  <si>
    <t xml:space="preserve">Ri1</t>
  </si>
  <si>
    <t xml:space="preserve">Ri3</t>
  </si>
  <si>
    <t xml:space="preserve">Ri4</t>
  </si>
  <si>
    <t xml:space="preserve">Ri5</t>
  </si>
  <si>
    <t xml:space="preserve">Ri7</t>
  </si>
  <si>
    <t xml:space="preserve">KI03</t>
  </si>
  <si>
    <t xml:space="preserve">Ri6</t>
  </si>
  <si>
    <t xml:space="preserve">Ri8</t>
  </si>
  <si>
    <t xml:space="preserve">Ri10</t>
  </si>
  <si>
    <t xml:space="preserve">KI04</t>
  </si>
  <si>
    <t xml:space="preserve">Ri9</t>
  </si>
  <si>
    <t xml:space="preserve">Ri11</t>
  </si>
  <si>
    <t xml:space="preserve">Ri12</t>
  </si>
  <si>
    <t xml:space="preserve">B15</t>
  </si>
  <si>
    <t xml:space="preserve">Q3-R</t>
  </si>
  <si>
    <t xml:space="preserve">Ri17</t>
  </si>
  <si>
    <t xml:space="preserve">B14</t>
  </si>
  <si>
    <t xml:space="preserve">Ri16</t>
  </si>
  <si>
    <t xml:space="preserve">B13</t>
  </si>
  <si>
    <t xml:space="preserve">Ri15</t>
  </si>
  <si>
    <t xml:space="preserve">B12</t>
  </si>
  <si>
    <t xml:space="preserve">Ri14</t>
  </si>
  <si>
    <t xml:space="preserve">B11</t>
  </si>
  <si>
    <t xml:space="preserve">Ri13</t>
  </si>
  <si>
    <t xml:space="preserve">Ri18</t>
  </si>
  <si>
    <t xml:space="preserve">Ri19</t>
  </si>
  <si>
    <t xml:space="preserve">B16</t>
  </si>
  <si>
    <t xml:space="preserve">B17</t>
  </si>
  <si>
    <t xml:space="preserve">B20</t>
  </si>
  <si>
    <t xml:space="preserve">Q5-R</t>
  </si>
  <si>
    <t xml:space="preserve">Ri22</t>
  </si>
  <si>
    <t xml:space="preserve">Ri21</t>
  </si>
  <si>
    <t xml:space="preserve">B19</t>
  </si>
  <si>
    <t xml:space="preserve">B18</t>
  </si>
  <si>
    <t xml:space="preserve">Ri20</t>
  </si>
  <si>
    <t xml:space="preserve">Ri23</t>
  </si>
  <si>
    <t xml:space="preserve">B21</t>
  </si>
  <si>
    <t xml:space="preserve">Ri24</t>
  </si>
  <si>
    <t xml:space="preserve">B22</t>
  </si>
  <si>
    <t xml:space="preserve">Ri25</t>
  </si>
  <si>
    <t xml:space="preserve">B23</t>
  </si>
  <si>
    <t xml:space="preserve">Ri26</t>
  </si>
  <si>
    <t xml:space="preserve">B24</t>
  </si>
  <si>
    <t xml:space="preserve">Ri27</t>
  </si>
  <si>
    <t xml:space="preserve">Ri29</t>
  </si>
  <si>
    <t xml:space="preserve">KI07</t>
  </si>
  <si>
    <t xml:space="preserve">Ri28</t>
  </si>
  <si>
    <t xml:space="preserve">Ri30</t>
  </si>
  <si>
    <t xml:space="preserve">Ri31</t>
  </si>
  <si>
    <t xml:space="preserve">Ri32</t>
  </si>
  <si>
    <t xml:space="preserve">KI08</t>
  </si>
  <si>
    <t xml:space="preserve">Ri34</t>
  </si>
  <si>
    <t xml:space="preserve">Ri33</t>
  </si>
  <si>
    <t xml:space="preserve">Ri35</t>
  </si>
  <si>
    <t xml:space="preserve">Ri37</t>
  </si>
  <si>
    <t xml:space="preserve">KI10</t>
  </si>
  <si>
    <t xml:space="preserve">Ri36</t>
  </si>
  <si>
    <t xml:space="preserve">Ri38</t>
  </si>
  <si>
    <t xml:space="preserve">Ri39</t>
  </si>
  <si>
    <t xml:space="preserve">Ri42</t>
  </si>
  <si>
    <t xml:space="preserve">KI12</t>
  </si>
  <si>
    <t xml:space="preserve">Ri41</t>
  </si>
  <si>
    <t xml:space="preserve">Ri40</t>
  </si>
  <si>
    <t xml:space="preserve">Ri43</t>
  </si>
  <si>
    <t xml:space="preserve">Ri44</t>
  </si>
  <si>
    <t xml:space="preserve">Ri45</t>
  </si>
  <si>
    <t xml:space="preserve">Q7-L</t>
  </si>
  <si>
    <t xml:space="preserve">Ri46</t>
  </si>
  <si>
    <t xml:space="preserve">Ri47</t>
  </si>
  <si>
    <t xml:space="preserve">Ri49</t>
  </si>
  <si>
    <t xml:space="preserve">KI15</t>
  </si>
  <si>
    <t xml:space="preserve">Ri48</t>
  </si>
  <si>
    <t xml:space="preserve">Ri50</t>
  </si>
  <si>
    <t xml:space="preserve">B35</t>
  </si>
  <si>
    <t xml:space="preserve">Ri51</t>
  </si>
  <si>
    <t xml:space="preserve">B36</t>
  </si>
  <si>
    <t xml:space="preserve">Ri52</t>
  </si>
  <si>
    <t xml:space="preserve">B37</t>
  </si>
  <si>
    <t xml:space="preserve">Ri53</t>
  </si>
  <si>
    <t xml:space="preserve">B38</t>
  </si>
  <si>
    <t xml:space="preserve">Ri54</t>
  </si>
  <si>
    <t xml:space="preserve">B41</t>
  </si>
  <si>
    <t xml:space="preserve">Q4-L</t>
  </si>
  <si>
    <t xml:space="preserve">B40</t>
  </si>
  <si>
    <t xml:space="preserve">Ri56</t>
  </si>
  <si>
    <t xml:space="preserve">Ri55</t>
  </si>
  <si>
    <t xml:space="preserve">Ri57</t>
  </si>
  <si>
    <t xml:space="preserve">B42</t>
  </si>
  <si>
    <t xml:space="preserve">B43</t>
  </si>
  <si>
    <t xml:space="preserve">Ri58</t>
  </si>
  <si>
    <t xml:space="preserve">Ri59</t>
  </si>
  <si>
    <t xml:space="preserve">Ri64</t>
  </si>
  <si>
    <t xml:space="preserve">KI16</t>
  </si>
  <si>
    <t xml:space="preserve">B48</t>
  </si>
  <si>
    <t xml:space="preserve">Ri63</t>
  </si>
  <si>
    <t xml:space="preserve">B47</t>
  </si>
  <si>
    <t xml:space="preserve">Ri62</t>
  </si>
  <si>
    <t xml:space="preserve">B46</t>
  </si>
  <si>
    <t xml:space="preserve">Ri61</t>
  </si>
  <si>
    <t xml:space="preserve">B45</t>
  </si>
  <si>
    <t xml:space="preserve">Ri60</t>
  </si>
  <si>
    <t xml:space="preserve">Ri65</t>
  </si>
  <si>
    <t xml:space="preserve">Ri66</t>
  </si>
  <si>
    <t xml:space="preserve">Ri68</t>
  </si>
  <si>
    <t xml:space="preserve">Q1-L</t>
  </si>
  <si>
    <t xml:space="preserve">Ri67</t>
  </si>
  <si>
    <t xml:space="preserve">Ri69</t>
  </si>
  <si>
    <t xml:space="preserve">Ri72</t>
  </si>
  <si>
    <t xml:space="preserve">KI19</t>
  </si>
  <si>
    <t xml:space="preserve">Ri71</t>
  </si>
  <si>
    <t xml:space="preserve">Ri70</t>
  </si>
  <si>
    <t xml:space="preserve">Ri73</t>
  </si>
  <si>
    <t xml:space="preserve">Ri74</t>
  </si>
  <si>
    <t xml:space="preserve">Endpunkt links / gegen UZS</t>
  </si>
  <si>
    <t xml:space="preserve">Abstand [m]</t>
  </si>
  <si>
    <t xml:space="preserve">Endpunkt rechts / im UZS</t>
  </si>
  <si>
    <t xml:space="preserve">Gesamtlänge [m]</t>
  </si>
  <si>
    <t xml:space="preserve">Anzahl Fluter</t>
  </si>
  <si>
    <t xml:space="preserve">Q1-R</t>
  </si>
  <si>
    <t xml:space="preserve">KI05</t>
  </si>
  <si>
    <t xml:space="preserve">Q3-L</t>
  </si>
  <si>
    <t xml:space="preserve">Q4-R</t>
  </si>
  <si>
    <t xml:space="preserve">Q5-L</t>
  </si>
  <si>
    <t xml:space="preserve">KI06</t>
  </si>
  <si>
    <t xml:space="preserve">Q7-R</t>
  </si>
  <si>
    <t xml:space="preserve">KA32</t>
  </si>
  <si>
    <t xml:space="preserve">KA02</t>
  </si>
  <si>
    <t xml:space="preserve">KA04</t>
  </si>
  <si>
    <t xml:space="preserve">KA06</t>
  </si>
  <si>
    <t xml:space="preserve">KA08</t>
  </si>
  <si>
    <t xml:space="preserve">KA10</t>
  </si>
  <si>
    <t xml:space="preserve">KA12</t>
  </si>
  <si>
    <t xml:space="preserve">KA14</t>
  </si>
  <si>
    <t xml:space="preserve">KA16</t>
  </si>
  <si>
    <t xml:space="preserve">KA18</t>
  </si>
  <si>
    <t xml:space="preserve">KA20</t>
  </si>
  <si>
    <t xml:space="preserve">KA22</t>
  </si>
  <si>
    <t xml:space="preserve">KA24</t>
  </si>
  <si>
    <t xml:space="preserve">KA26</t>
  </si>
  <si>
    <t xml:space="preserve">KA28</t>
  </si>
  <si>
    <t xml:space="preserve">KA30</t>
  </si>
  <si>
    <t xml:space="preserve">KI20</t>
  </si>
  <si>
    <t xml:space="preserve">KI02</t>
  </si>
  <si>
    <t xml:space="preserve">KI09</t>
  </si>
  <si>
    <t xml:space="preserve">KI11</t>
  </si>
  <si>
    <t xml:space="preserve">KI13</t>
  </si>
  <si>
    <t xml:space="preserve">KI14</t>
  </si>
  <si>
    <t xml:space="preserve">KI17</t>
  </si>
  <si>
    <t xml:space="preserve">KI18</t>
  </si>
  <si>
    <t xml:space="preserve">Vorschaltgerät</t>
  </si>
  <si>
    <t xml:space="preserve">Versorgte Fluter</t>
  </si>
  <si>
    <t xml:space="preserve">Lage ab Bezugspunkt [m] (nur Information, keine Bemaßung)</t>
  </si>
  <si>
    <t xml:space="preserve">VG A1</t>
  </si>
  <si>
    <t xml:space="preserve">A1 - A3</t>
  </si>
  <si>
    <t xml:space="preserve">VG A2</t>
  </si>
  <si>
    <t xml:space="preserve">A4 - A6</t>
  </si>
  <si>
    <t xml:space="preserve">VG B3</t>
  </si>
  <si>
    <t xml:space="preserve">B5 - B6</t>
  </si>
  <si>
    <t xml:space="preserve">VG B2</t>
  </si>
  <si>
    <t xml:space="preserve">B3 - B4</t>
  </si>
  <si>
    <t xml:space="preserve">VG A3</t>
  </si>
  <si>
    <t xml:space="preserve">A7 - A10</t>
  </si>
  <si>
    <t xml:space="preserve">VG B1</t>
  </si>
  <si>
    <t xml:space="preserve">B1 - B2</t>
  </si>
  <si>
    <t xml:space="preserve">VG B4</t>
  </si>
  <si>
    <t xml:space="preserve">B7 - B8</t>
  </si>
  <si>
    <t xml:space="preserve">VG A4</t>
  </si>
  <si>
    <t xml:space="preserve">A11 - A14</t>
  </si>
  <si>
    <t xml:space="preserve">VG B5</t>
  </si>
  <si>
    <t xml:space="preserve">B9 - B10</t>
  </si>
  <si>
    <t xml:space="preserve">VG A5</t>
  </si>
  <si>
    <t xml:space="preserve">A15 - A18</t>
  </si>
  <si>
    <t xml:space="preserve">VG B25</t>
  </si>
  <si>
    <t xml:space="preserve">B49 - B52</t>
  </si>
  <si>
    <t xml:space="preserve">VG B26</t>
  </si>
  <si>
    <t xml:space="preserve">B53 - B56</t>
  </si>
  <si>
    <t xml:space="preserve">VG B27</t>
  </si>
  <si>
    <t xml:space="preserve">B57 - B60</t>
  </si>
  <si>
    <t xml:space="preserve">VG A6</t>
  </si>
  <si>
    <t xml:space="preserve">A19 - A20</t>
  </si>
  <si>
    <t xml:space="preserve">VG B28</t>
  </si>
  <si>
    <t xml:space="preserve">B61 - B64</t>
  </si>
  <si>
    <t xml:space="preserve">VG A7</t>
  </si>
  <si>
    <t xml:space="preserve">A21 - A22</t>
  </si>
  <si>
    <t xml:space="preserve">VG B29</t>
  </si>
  <si>
    <t xml:space="preserve">B65 - B68</t>
  </si>
  <si>
    <t xml:space="preserve">VG A8</t>
  </si>
  <si>
    <t xml:space="preserve">A23 - A26</t>
  </si>
  <si>
    <t xml:space="preserve">VG B30</t>
  </si>
  <si>
    <t xml:space="preserve">B69 - B72</t>
  </si>
  <si>
    <t xml:space="preserve">VG B15</t>
  </si>
  <si>
    <t xml:space="preserve">B29 - B30</t>
  </si>
  <si>
    <t xml:space="preserve">VG B16</t>
  </si>
  <si>
    <t xml:space="preserve">B31 - B32</t>
  </si>
  <si>
    <t xml:space="preserve">VG A9</t>
  </si>
  <si>
    <t xml:space="preserve">A27 - A30</t>
  </si>
  <si>
    <t xml:space="preserve">VG B17</t>
  </si>
  <si>
    <t xml:space="preserve">B33 - B34</t>
  </si>
  <si>
    <t xml:space="preserve">VG B14</t>
  </si>
  <si>
    <t xml:space="preserve">B27 - B28</t>
  </si>
  <si>
    <t xml:space="preserve">VG A10</t>
  </si>
  <si>
    <t xml:space="preserve">A31 - A34</t>
  </si>
  <si>
    <t xml:space="preserve">VG B13</t>
  </si>
  <si>
    <t xml:space="preserve">B25 - B26</t>
  </si>
  <si>
    <t xml:space="preserve">VG A11</t>
  </si>
  <si>
    <t xml:space="preserve">A35 - A37</t>
  </si>
  <si>
    <t xml:space="preserve">VG A12</t>
  </si>
  <si>
    <t xml:space="preserve">A38 - A40</t>
  </si>
  <si>
    <t xml:space="preserve">VG Ra1</t>
  </si>
  <si>
    <t xml:space="preserve">Ra1 - Ra2</t>
  </si>
  <si>
    <t xml:space="preserve">VG Ra2</t>
  </si>
  <si>
    <t xml:space="preserve">Ra3 - Ra4</t>
  </si>
  <si>
    <t xml:space="preserve">VG Ra3</t>
  </si>
  <si>
    <t xml:space="preserve">Ra5 - Ra6</t>
  </si>
  <si>
    <t xml:space="preserve">VG Ra6</t>
  </si>
  <si>
    <t xml:space="preserve">Ra11 - Ra12</t>
  </si>
  <si>
    <t xml:space="preserve">VG Ra11</t>
  </si>
  <si>
    <t xml:space="preserve">Ra21 - Ra22</t>
  </si>
  <si>
    <t xml:space="preserve">VG Ra10</t>
  </si>
  <si>
    <t xml:space="preserve">Ra19 - Ra20</t>
  </si>
  <si>
    <t xml:space="preserve">VG Ra9</t>
  </si>
  <si>
    <t xml:space="preserve">Ra17 - Ra18</t>
  </si>
  <si>
    <t xml:space="preserve">VG Ra8</t>
  </si>
  <si>
    <t xml:space="preserve">Ra15 - Ra16</t>
  </si>
  <si>
    <t xml:space="preserve">VG Ra7</t>
  </si>
  <si>
    <t xml:space="preserve">Ra13 - Ra14</t>
  </si>
  <si>
    <t xml:space="preserve">VG Ra12</t>
  </si>
  <si>
    <t xml:space="preserve">Ra23 - Ra24</t>
  </si>
  <si>
    <t xml:space="preserve">VG Ra13</t>
  </si>
  <si>
    <t xml:space="preserve">Ra25 - Ra26</t>
  </si>
  <si>
    <t xml:space="preserve">VG Ra17</t>
  </si>
  <si>
    <t xml:space="preserve">Ra33 - Ra34</t>
  </si>
  <si>
    <t xml:space="preserve">VG Ra18</t>
  </si>
  <si>
    <t xml:space="preserve">Ra35 - Ra36</t>
  </si>
  <si>
    <t xml:space="preserve">VG Ra19</t>
  </si>
  <si>
    <t xml:space="preserve">Ra37 - Ra38</t>
  </si>
  <si>
    <t xml:space="preserve">VG Ra23</t>
  </si>
  <si>
    <t xml:space="preserve">Ra45- Ra46</t>
  </si>
  <si>
    <t xml:space="preserve">VG Ra27</t>
  </si>
  <si>
    <t xml:space="preserve">Ra53 - Ra54</t>
  </si>
  <si>
    <t xml:space="preserve">VG Ra126</t>
  </si>
  <si>
    <t xml:space="preserve">Ra51 - Ra52</t>
  </si>
  <si>
    <t xml:space="preserve">VG Ra25</t>
  </si>
  <si>
    <t xml:space="preserve">Ra49 - Ra50</t>
  </si>
  <si>
    <t xml:space="preserve">VG Ra24</t>
  </si>
  <si>
    <t xml:space="preserve">Ra47 - Ra48</t>
  </si>
  <si>
    <t xml:space="preserve">VG Ra28</t>
  </si>
  <si>
    <t xml:space="preserve">Ra55 - Ra56</t>
  </si>
  <si>
    <t xml:space="preserve">VG Ra29</t>
  </si>
  <si>
    <t xml:space="preserve">Ra57 - Ra58</t>
  </si>
  <si>
    <t xml:space="preserve">VG Ri1</t>
  </si>
  <si>
    <t xml:space="preserve">Ri1 - Ri2</t>
  </si>
  <si>
    <t xml:space="preserve">VG Ri2</t>
  </si>
  <si>
    <t xml:space="preserve">Ri3 - Ri4</t>
  </si>
  <si>
    <t xml:space="preserve">VG Ri3</t>
  </si>
  <si>
    <t xml:space="preserve">Ri5 - Ri6</t>
  </si>
  <si>
    <t xml:space="preserve">VG Ri9</t>
  </si>
  <si>
    <t xml:space="preserve">Ri17 - Ri18</t>
  </si>
  <si>
    <t xml:space="preserve">VG B7</t>
  </si>
  <si>
    <t xml:space="preserve">B13 - B14</t>
  </si>
  <si>
    <t xml:space="preserve">VG Ri8</t>
  </si>
  <si>
    <t xml:space="preserve">Ri15 - Ri6</t>
  </si>
  <si>
    <t xml:space="preserve">VG B6</t>
  </si>
  <si>
    <t xml:space="preserve">B11 - B12</t>
  </si>
  <si>
    <t xml:space="preserve">VG Ri7</t>
  </si>
  <si>
    <t xml:space="preserve">Ri13 - Ri14</t>
  </si>
  <si>
    <t xml:space="preserve">VG B8</t>
  </si>
  <si>
    <t xml:space="preserve">B15 - B16</t>
  </si>
  <si>
    <t xml:space="preserve">VG Ri10</t>
  </si>
  <si>
    <t xml:space="preserve">Ri19 - Ri20</t>
  </si>
  <si>
    <t xml:space="preserve">VG Ri11</t>
  </si>
  <si>
    <t xml:space="preserve">Ri21 - Ri22</t>
  </si>
  <si>
    <t xml:space="preserve">VG B10</t>
  </si>
  <si>
    <t xml:space="preserve">B19 - B20</t>
  </si>
  <si>
    <t xml:space="preserve">VG Ri12</t>
  </si>
  <si>
    <t xml:space="preserve">Ri23 - Ri24</t>
  </si>
  <si>
    <t xml:space="preserve">VG B11</t>
  </si>
  <si>
    <t xml:space="preserve">B21 - B22</t>
  </si>
  <si>
    <t xml:space="preserve">VG Ri13</t>
  </si>
  <si>
    <t xml:space="preserve">Ri25 - R26</t>
  </si>
  <si>
    <t xml:space="preserve">VG B12</t>
  </si>
  <si>
    <t xml:space="preserve">B23 - B24</t>
  </si>
  <si>
    <t xml:space="preserve">VG Ri14</t>
  </si>
  <si>
    <t xml:space="preserve">Ri27 - Ri28</t>
  </si>
  <si>
    <t xml:space="preserve">VG Ri15</t>
  </si>
  <si>
    <t xml:space="preserve">Ri29 - Ri30</t>
  </si>
  <si>
    <t xml:space="preserve">VG Ri16</t>
  </si>
  <si>
    <t xml:space="preserve">Ri31 - Ri32</t>
  </si>
  <si>
    <t xml:space="preserve">VG Ri19</t>
  </si>
  <si>
    <t xml:space="preserve">Ri37 - Ri38</t>
  </si>
  <si>
    <t xml:space="preserve">VG Ri20</t>
  </si>
  <si>
    <t xml:space="preserve">Ri39 - Ri40</t>
  </si>
  <si>
    <t xml:space="preserve">VG Ri21</t>
  </si>
  <si>
    <t xml:space="preserve">Ri41 - Ri42</t>
  </si>
  <si>
    <t xml:space="preserve">VG Ri22</t>
  </si>
  <si>
    <t xml:space="preserve">Ri43 - Ri44</t>
  </si>
  <si>
    <t xml:space="preserve">VG B18</t>
  </si>
  <si>
    <t xml:space="preserve">B35 - B36</t>
  </si>
  <si>
    <t xml:space="preserve">VG Ri26</t>
  </si>
  <si>
    <t xml:space="preserve">Ri51 - Ri52</t>
  </si>
  <si>
    <t xml:space="preserve">VG B19</t>
  </si>
  <si>
    <t xml:space="preserve">B37 - B38</t>
  </si>
  <si>
    <t xml:space="preserve">VG Ri27</t>
  </si>
  <si>
    <t xml:space="preserve">Ri53 - Ri54</t>
  </si>
  <si>
    <t xml:space="preserve">VG B20</t>
  </si>
  <si>
    <t xml:space="preserve">B39 - B40</t>
  </si>
  <si>
    <t xml:space="preserve">VG Ri28</t>
  </si>
  <si>
    <t xml:space="preserve">Ri55 - Ri56</t>
  </si>
  <si>
    <t xml:space="preserve">VG Ri29</t>
  </si>
  <si>
    <t xml:space="preserve">Ri57 - Ri58</t>
  </si>
  <si>
    <t xml:space="preserve">VG B22</t>
  </si>
  <si>
    <t xml:space="preserve">B43 - B44</t>
  </si>
  <si>
    <t xml:space="preserve">VG Ri32</t>
  </si>
  <si>
    <t xml:space="preserve">Ri63 - Ri64</t>
  </si>
  <si>
    <t xml:space="preserve">VG B24</t>
  </si>
  <si>
    <t xml:space="preserve">B47 - B48</t>
  </si>
  <si>
    <t xml:space="preserve">VG Ri31</t>
  </si>
  <si>
    <t xml:space="preserve">Ri61 - Ri62</t>
  </si>
  <si>
    <t xml:space="preserve">VG B23</t>
  </si>
  <si>
    <t xml:space="preserve">B45 - B46</t>
  </si>
  <si>
    <t xml:space="preserve">VG Ri30</t>
  </si>
  <si>
    <t xml:space="preserve">Ri59 - Ri60</t>
  </si>
  <si>
    <t xml:space="preserve">VG Ri33</t>
  </si>
  <si>
    <t xml:space="preserve">Ri65 - Ri66</t>
  </si>
  <si>
    <t xml:space="preserve">VG Ri34</t>
  </si>
  <si>
    <t xml:space="preserve">Ri67 - Ri68</t>
  </si>
  <si>
    <t xml:space="preserve">VG Ri35</t>
  </si>
  <si>
    <t xml:space="preserve">Ri69 - Ri70</t>
  </si>
  <si>
    <t xml:space="preserve">Punkt</t>
  </si>
  <si>
    <t xml:space="preserve">Typ</t>
  </si>
  <si>
    <t xml:space="preserve">Farbe im Plan</t>
  </si>
  <si>
    <t xml:space="preserve">Knick Außenring</t>
  </si>
  <si>
    <t xml:space="preserve">weiß-rot</t>
  </si>
  <si>
    <t xml:space="preserve">ja</t>
  </si>
  <si>
    <t xml:space="preserve">gelb</t>
  </si>
  <si>
    <t xml:space="preserve">nein</t>
  </si>
  <si>
    <t xml:space="preserve">Knick Innenring</t>
  </si>
  <si>
    <t xml:space="preserve">T-Stoß Querträger/Innenring</t>
  </si>
  <si>
    <t xml:space="preserve">Mittelpunkt Querträger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</si>
</sst>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A2D82"/>
        <bgColor rgb="FF333333"/>
      </patternFill>
    </fill>
    <fill>
      <patternFill patternType="solid">
        <fgColor rgb="FFF8D7D7"/>
        <bgColor rgb="FFFFF3B0"/>
      </patternFill>
    </fill>
    <fill>
      <patternFill patternType="solid">
        <fgColor rgb="FFFFF3B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5A2D8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8D7D7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5A2D8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52.2" hidden="false" customHeight="false" outlineLevel="0" collapsed="false">
      <c r="A4" s="4" t="s">
        <v>2</v>
      </c>
      <c r="B4" s="5" t="s">
        <v>3</v>
      </c>
      <c r="C4" s="6" t="s">
        <v>4</v>
      </c>
    </row>
    <row r="5" customFormat="false" ht="15" hidden="false" customHeight="false" outlineLevel="0" collapsed="false">
      <c r="A5" s="4" t="s">
        <v>5</v>
      </c>
      <c r="B5" s="5" t="n">
        <v>14.1821</v>
      </c>
      <c r="C5" s="6" t="s">
        <v>6</v>
      </c>
    </row>
    <row r="6" customFormat="false" ht="26.85" hidden="false" customHeight="false" outlineLevel="0" collapsed="false">
      <c r="A6" s="4" t="s">
        <v>7</v>
      </c>
      <c r="B6" s="5" t="s">
        <v>8</v>
      </c>
      <c r="C6" s="6" t="s">
        <v>9</v>
      </c>
    </row>
    <row r="7" customFormat="false" ht="26.85" hidden="false" customHeight="false" outlineLevel="0" collapsed="false">
      <c r="A7" s="4" t="s">
        <v>10</v>
      </c>
      <c r="B7" s="5" t="s">
        <v>11</v>
      </c>
      <c r="C7" s="6" t="s">
        <v>12</v>
      </c>
    </row>
    <row r="8" customFormat="false" ht="15" hidden="false" customHeight="false" outlineLevel="0" collapsed="false">
      <c r="A8" s="4" t="s">
        <v>13</v>
      </c>
      <c r="B8" s="5" t="s">
        <v>14</v>
      </c>
      <c r="C8" s="6" t="s">
        <v>15</v>
      </c>
    </row>
    <row r="9" customFormat="false" ht="39.55" hidden="false" customHeight="false" outlineLevel="0" collapsed="false">
      <c r="A9" s="4" t="s">
        <v>16</v>
      </c>
      <c r="B9" s="5" t="s">
        <v>17</v>
      </c>
      <c r="C9" s="6" t="s">
        <v>18</v>
      </c>
    </row>
    <row r="10" customFormat="false" ht="26.85" hidden="false" customHeight="false" outlineLevel="0" collapsed="false">
      <c r="A10" s="4" t="s">
        <v>19</v>
      </c>
      <c r="B10" s="5" t="s">
        <v>20</v>
      </c>
      <c r="C10" s="6" t="s">
        <v>21</v>
      </c>
    </row>
    <row r="11" customFormat="false" ht="15" hidden="false" customHeight="false" outlineLevel="0" collapsed="false">
      <c r="A11" s="4" t="s">
        <v>22</v>
      </c>
      <c r="B11" s="5"/>
      <c r="C11" s="6" t="s">
        <v>23</v>
      </c>
    </row>
    <row r="12" customFormat="false" ht="26.85" hidden="false" customHeight="false" outlineLevel="0" collapsed="false">
      <c r="A12" s="4" t="s">
        <v>24</v>
      </c>
      <c r="B12" s="5"/>
      <c r="C12" s="6" t="s">
        <v>25</v>
      </c>
    </row>
    <row r="13" customFormat="false" ht="15" hidden="false" customHeight="false" outlineLevel="0" collapsed="false">
      <c r="A13" s="2"/>
      <c r="B13" s="2"/>
      <c r="C13" s="2"/>
    </row>
    <row r="14" customFormat="false" ht="15" hidden="false" customHeight="false" outlineLevel="0" collapsed="false">
      <c r="A14" s="7" t="s">
        <v>26</v>
      </c>
      <c r="B14" s="7" t="s">
        <v>27</v>
      </c>
      <c r="C14" s="7" t="s">
        <v>28</v>
      </c>
    </row>
    <row r="15" customFormat="false" ht="15" hidden="false" customHeight="false" outlineLevel="0" collapsed="false">
      <c r="A15" s="2" t="s">
        <v>29</v>
      </c>
      <c r="B15" s="2" t="n">
        <f aca="false">COUNTIF(Fluter!$C:$C,A15)</f>
        <v>140</v>
      </c>
      <c r="C15" s="2" t="s">
        <v>30</v>
      </c>
    </row>
    <row r="16" customFormat="false" ht="15" hidden="false" customHeight="false" outlineLevel="0" collapsed="false">
      <c r="A16" s="2" t="s">
        <v>31</v>
      </c>
      <c r="B16" s="2" t="n">
        <f aca="false">COUNTIF(Fluter!$C:$C,A16)</f>
        <v>48</v>
      </c>
      <c r="C16" s="2" t="s">
        <v>32</v>
      </c>
    </row>
    <row r="17" customFormat="false" ht="15" hidden="false" customHeight="false" outlineLevel="0" collapsed="false">
      <c r="A17" s="2" t="s">
        <v>33</v>
      </c>
      <c r="B17" s="2" t="n">
        <f aca="false">COUNTIF(Fluter!$C:$C,A17)</f>
        <v>24</v>
      </c>
      <c r="C17" s="2" t="s">
        <v>34</v>
      </c>
    </row>
    <row r="18" customFormat="false" ht="15" hidden="false" customHeight="false" outlineLevel="0" collapsed="false">
      <c r="A18" s="2" t="s">
        <v>35</v>
      </c>
      <c r="B18" s="2" t="n">
        <f aca="false">COUNTIF(Fluter!$C:$C,A18)</f>
        <v>40</v>
      </c>
      <c r="C18" s="2" t="s">
        <v>36</v>
      </c>
    </row>
    <row r="19" customFormat="false" ht="15" hidden="false" customHeight="false" outlineLevel="0" collapsed="false">
      <c r="A19" s="2" t="s">
        <v>37</v>
      </c>
      <c r="B19" s="2" t="n">
        <f aca="false">COUNTIF(Fluter!$C:$C,A19)</f>
        <v>65</v>
      </c>
      <c r="C19" s="2" t="s">
        <v>38</v>
      </c>
    </row>
    <row r="20" customFormat="false" ht="15" hidden="false" customHeight="false" outlineLevel="0" collapsed="false">
      <c r="A20" s="7" t="s">
        <v>39</v>
      </c>
      <c r="B20" s="7" t="n">
        <f aca="false">SUM(B15:B19)</f>
        <v>317</v>
      </c>
      <c r="C20" s="2"/>
    </row>
    <row r="21" customFormat="false" ht="15" hidden="false" customHeight="false" outlineLevel="0" collapsed="false">
      <c r="A21" s="2"/>
      <c r="B21" s="2"/>
      <c r="C21" s="2"/>
    </row>
    <row r="22" customFormat="false" ht="15" hidden="false" customHeight="false" outlineLevel="0" collapsed="false">
      <c r="A22" s="7" t="s">
        <v>40</v>
      </c>
      <c r="B22" s="7" t="s">
        <v>27</v>
      </c>
      <c r="C22" s="2"/>
    </row>
    <row r="23" customFormat="false" ht="15" hidden="false" customHeight="false" outlineLevel="0" collapsed="false">
      <c r="A23" s="2" t="s">
        <v>41</v>
      </c>
      <c r="B23" s="2" t="n">
        <f aca="false">COUNTIF(Fluter!$E:$E,A23)</f>
        <v>10</v>
      </c>
      <c r="C23" s="2"/>
    </row>
    <row r="24" customFormat="false" ht="15" hidden="false" customHeight="false" outlineLevel="0" collapsed="false">
      <c r="A24" s="2" t="s">
        <v>42</v>
      </c>
      <c r="B24" s="2" t="n">
        <f aca="false">COUNTIF(Fluter!$E:$E,A24)</f>
        <v>20</v>
      </c>
      <c r="C24" s="2"/>
    </row>
    <row r="25" customFormat="false" ht="15" hidden="false" customHeight="false" outlineLevel="0" collapsed="false">
      <c r="A25" s="2" t="s">
        <v>43</v>
      </c>
      <c r="B25" s="2" t="n">
        <f aca="false">COUNTIF(Fluter!$E:$E,A25)</f>
        <v>25</v>
      </c>
      <c r="C25" s="2"/>
    </row>
    <row r="26" customFormat="false" ht="15" hidden="false" customHeight="false" outlineLevel="0" collapsed="false">
      <c r="A26" s="2" t="s">
        <v>44</v>
      </c>
      <c r="B26" s="2" t="n">
        <f aca="false">COUNTIF(Fluter!$E:$E,A26)</f>
        <v>12</v>
      </c>
      <c r="C26" s="2"/>
    </row>
    <row r="27" customFormat="false" ht="15" hidden="false" customHeight="false" outlineLevel="0" collapsed="false">
      <c r="A27" s="2" t="s">
        <v>45</v>
      </c>
      <c r="B27" s="2" t="n">
        <f aca="false">COUNTIF(Fluter!$E:$E,A27)</f>
        <v>25</v>
      </c>
      <c r="C27" s="2"/>
    </row>
    <row r="28" customFormat="false" ht="15" hidden="false" customHeight="false" outlineLevel="0" collapsed="false">
      <c r="A28" s="2" t="s">
        <v>46</v>
      </c>
      <c r="B28" s="2" t="n">
        <f aca="false">COUNTIF(Fluter!$E:$E,A28)</f>
        <v>20</v>
      </c>
      <c r="C28" s="2"/>
    </row>
    <row r="29" customFormat="false" ht="15" hidden="false" customHeight="false" outlineLevel="0" collapsed="false">
      <c r="A29" s="2" t="s">
        <v>47</v>
      </c>
      <c r="B29" s="2" t="n">
        <f aca="false">COUNTIF(Fluter!$E:$E,A29)</f>
        <v>10</v>
      </c>
      <c r="C29" s="2"/>
    </row>
    <row r="30" customFormat="false" ht="15" hidden="false" customHeight="false" outlineLevel="0" collapsed="false">
      <c r="A30" s="2" t="s">
        <v>48</v>
      </c>
      <c r="B30" s="2" t="n">
        <f aca="false">COUNTIF(Fluter!$E:$E,A30)</f>
        <v>95</v>
      </c>
      <c r="C30" s="2"/>
    </row>
    <row r="31" customFormat="false" ht="15" hidden="false" customHeight="false" outlineLevel="0" collapsed="false">
      <c r="A31" s="2" t="s">
        <v>49</v>
      </c>
      <c r="B31" s="2" t="n">
        <f aca="false">COUNTIF(Fluter!$E:$E,A31)</f>
        <v>100</v>
      </c>
      <c r="C31" s="2"/>
    </row>
    <row r="32" customFormat="false" ht="15" hidden="false" customHeight="false" outlineLevel="0" collapsed="false">
      <c r="A32" s="7" t="s">
        <v>39</v>
      </c>
      <c r="B32" s="7" t="n">
        <f aca="false">SUM(B23:B31)</f>
        <v>317</v>
      </c>
      <c r="C32" s="2"/>
    </row>
    <row r="33" customFormat="false" ht="15" hidden="false" customHeight="false" outlineLevel="0" collapsed="false">
      <c r="A33" s="2"/>
      <c r="B33" s="2"/>
      <c r="C33" s="2"/>
    </row>
    <row r="34" customFormat="false" ht="15" hidden="false" customHeight="false" outlineLevel="0" collapsed="false">
      <c r="A34" s="7" t="s">
        <v>50</v>
      </c>
      <c r="B34" s="7" t="n">
        <f aca="false">COUNTA(Vorschaltgeräte!A:A)-1</f>
        <v>88</v>
      </c>
      <c r="C34" s="2"/>
    </row>
    <row r="35" customFormat="false" ht="15" hidden="false" customHeight="false" outlineLevel="0" collapsed="false">
      <c r="A35" s="2"/>
      <c r="B35" s="2"/>
      <c r="C35" s="2"/>
    </row>
    <row r="36" customFormat="false" ht="15" hidden="false" customHeight="false" outlineLevel="0" collapsed="false">
      <c r="A36" s="7" t="s">
        <v>51</v>
      </c>
      <c r="B36" s="2"/>
      <c r="C36" s="2"/>
    </row>
    <row r="37" customFormat="false" ht="15" hidden="false" customHeight="false" outlineLevel="0" collapsed="false">
      <c r="A37" s="2" t="s">
        <v>52</v>
      </c>
      <c r="B37" s="2"/>
      <c r="C37" s="2" t="s">
        <v>53</v>
      </c>
    </row>
    <row r="38" customFormat="false" ht="15" hidden="false" customHeight="false" outlineLevel="0" collapsed="false">
      <c r="A38" s="2" t="s">
        <v>54</v>
      </c>
      <c r="B38" s="2"/>
      <c r="C38" s="2" t="s">
        <v>55</v>
      </c>
    </row>
    <row r="39" customFormat="false" ht="15" hidden="false" customHeight="false" outlineLevel="0" collapsed="false">
      <c r="A39" s="2" t="s">
        <v>56</v>
      </c>
      <c r="B39" s="2"/>
      <c r="C39" s="2" t="s">
        <v>57</v>
      </c>
    </row>
    <row r="40" customFormat="false" ht="15" hidden="false" customHeight="false" outlineLevel="0" collapsed="false">
      <c r="A40" s="2" t="s">
        <v>58</v>
      </c>
      <c r="B40" s="2"/>
      <c r="C40" s="2" t="s">
        <v>59</v>
      </c>
    </row>
    <row r="41" customFormat="false" ht="15" hidden="false" customHeight="false" outlineLevel="0" collapsed="false">
      <c r="A41" s="2"/>
      <c r="B41" s="2"/>
      <c r="C41" s="2"/>
    </row>
    <row r="42" customFormat="false" ht="15" hidden="false" customHeight="false" outlineLevel="0" collapsed="false">
      <c r="A42" s="3" t="s">
        <v>60</v>
      </c>
      <c r="B42" s="2"/>
      <c r="C4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2" min="11" style="0" width="15"/>
    <col collapsed="false" customWidth="true" hidden="false" outlineLevel="0" max="14" min="13" style="0" width="10"/>
  </cols>
  <sheetData>
    <row r="1" customFormat="false" ht="31.5" hidden="false" customHeight="true" outlineLevel="0" collapsed="false">
      <c r="A1" s="8" t="s">
        <v>61</v>
      </c>
      <c r="B1" s="8" t="s">
        <v>52</v>
      </c>
      <c r="C1" s="8" t="s">
        <v>62</v>
      </c>
      <c r="D1" s="8" t="s">
        <v>28</v>
      </c>
      <c r="E1" s="8" t="s">
        <v>63</v>
      </c>
      <c r="F1" s="8" t="s">
        <v>64</v>
      </c>
      <c r="G1" s="8" t="s">
        <v>65</v>
      </c>
      <c r="H1" s="8" t="s">
        <v>66</v>
      </c>
      <c r="I1" s="8" t="s">
        <v>67</v>
      </c>
      <c r="J1" s="8" t="s">
        <v>68</v>
      </c>
      <c r="K1" s="8" t="s">
        <v>69</v>
      </c>
      <c r="L1" s="8" t="s">
        <v>70</v>
      </c>
      <c r="M1" s="8" t="s">
        <v>71</v>
      </c>
      <c r="N1" s="8" t="s">
        <v>72</v>
      </c>
    </row>
    <row r="2" customFormat="false" ht="15" hidden="false" customHeight="false" outlineLevel="0" collapsed="false">
      <c r="A2" s="9" t="n">
        <v>1</v>
      </c>
      <c r="B2" s="9" t="s">
        <v>73</v>
      </c>
      <c r="C2" s="9" t="s">
        <v>35</v>
      </c>
      <c r="D2" s="9" t="s">
        <v>74</v>
      </c>
      <c r="E2" s="9" t="s">
        <v>41</v>
      </c>
      <c r="F2" s="9" t="s">
        <v>75</v>
      </c>
      <c r="G2" s="9" t="s">
        <v>76</v>
      </c>
      <c r="H2" s="10" t="n">
        <v>1.575</v>
      </c>
      <c r="I2" s="9" t="str">
        <f aca="false">IF(OR(G2="links",G2="gegen UZS"),INDEX(Bezugspunkte!$C:$C,MATCH(F2,Bezugspunkte!$A:$A,0)),INDEX(Bezugspunkte!$E:$E,MATCH(F2,Bezugspunkte!$A:$A,0)))</f>
        <v>Q1-L</v>
      </c>
      <c r="J2" s="10" t="n">
        <f aca="false">IF(OR(G2="links",G2="gegen UZS"),INDEX(Bezugspunkte!$D:$D,MATCH(F2,Bezugspunkte!$A:$A,0)),INDEX(Bezugspunkte!$F:$F,MATCH(F2,Bezugspunkte!$A:$A,0)))</f>
        <v>14.602</v>
      </c>
      <c r="K2" s="10" t="n">
        <f aca="false">J2-H2</f>
        <v>13.027</v>
      </c>
      <c r="L2" s="10" t="n">
        <f aca="false">H2</f>
        <v>1.575</v>
      </c>
      <c r="M2" s="10" t="n">
        <v>-1.522</v>
      </c>
      <c r="N2" s="10" t="n">
        <v>33.482</v>
      </c>
    </row>
    <row r="3" customFormat="false" ht="15" hidden="false" customHeight="false" outlineLevel="0" collapsed="false">
      <c r="A3" s="9" t="n">
        <v>2</v>
      </c>
      <c r="B3" s="9" t="s">
        <v>77</v>
      </c>
      <c r="C3" s="9" t="s">
        <v>37</v>
      </c>
      <c r="D3" s="9" t="s">
        <v>78</v>
      </c>
      <c r="E3" s="9" t="s">
        <v>41</v>
      </c>
      <c r="F3" s="9" t="s">
        <v>75</v>
      </c>
      <c r="G3" s="9" t="s">
        <v>76</v>
      </c>
      <c r="H3" s="10" t="n">
        <v>2.626</v>
      </c>
      <c r="I3" s="9" t="str">
        <f aca="false">IF(OR(G3="links",G3="gegen UZS"),INDEX(Bezugspunkte!$C:$C,MATCH(F3,Bezugspunkte!$A:$A,0)),INDEX(Bezugspunkte!$E:$E,MATCH(F3,Bezugspunkte!$A:$A,0)))</f>
        <v>Q1-L</v>
      </c>
      <c r="J3" s="10" t="n">
        <f aca="false">IF(OR(G3="links",G3="gegen UZS"),INDEX(Bezugspunkte!$D:$D,MATCH(F3,Bezugspunkte!$A:$A,0)),INDEX(Bezugspunkte!$F:$F,MATCH(F3,Bezugspunkte!$A:$A,0)))</f>
        <v>14.602</v>
      </c>
      <c r="K3" s="10" t="n">
        <f aca="false">J3-H3</f>
        <v>11.976</v>
      </c>
      <c r="L3" s="10" t="n">
        <f aca="false">IF(AND(F3=F2,G3=G2),H3-H2,H3)</f>
        <v>1.051</v>
      </c>
      <c r="M3" s="10" t="n">
        <v>-2.573</v>
      </c>
      <c r="N3" s="10" t="n">
        <v>33.482</v>
      </c>
    </row>
    <row r="4" customFormat="false" ht="15" hidden="false" customHeight="false" outlineLevel="0" collapsed="false">
      <c r="A4" s="9" t="n">
        <v>3</v>
      </c>
      <c r="B4" s="9" t="s">
        <v>79</v>
      </c>
      <c r="C4" s="9" t="s">
        <v>37</v>
      </c>
      <c r="D4" s="9" t="s">
        <v>78</v>
      </c>
      <c r="E4" s="9" t="s">
        <v>41</v>
      </c>
      <c r="F4" s="9" t="s">
        <v>75</v>
      </c>
      <c r="G4" s="9" t="s">
        <v>76</v>
      </c>
      <c r="H4" s="10" t="n">
        <v>3.627</v>
      </c>
      <c r="I4" s="9" t="str">
        <f aca="false">IF(OR(G4="links",G4="gegen UZS"),INDEX(Bezugspunkte!$C:$C,MATCH(F4,Bezugspunkte!$A:$A,0)),INDEX(Bezugspunkte!$E:$E,MATCH(F4,Bezugspunkte!$A:$A,0)))</f>
        <v>Q1-L</v>
      </c>
      <c r="J4" s="10" t="n">
        <f aca="false">IF(OR(G4="links",G4="gegen UZS"),INDEX(Bezugspunkte!$D:$D,MATCH(F4,Bezugspunkte!$A:$A,0)),INDEX(Bezugspunkte!$F:$F,MATCH(F4,Bezugspunkte!$A:$A,0)))</f>
        <v>14.602</v>
      </c>
      <c r="K4" s="10" t="n">
        <f aca="false">J4-H4</f>
        <v>10.975</v>
      </c>
      <c r="L4" s="10" t="n">
        <f aca="false">IF(AND(F4=F3,G4=G3),H4-H3,H4)</f>
        <v>1.001</v>
      </c>
      <c r="M4" s="10" t="n">
        <v>-3.574</v>
      </c>
      <c r="N4" s="10" t="n">
        <v>33.482</v>
      </c>
    </row>
    <row r="5" customFormat="false" ht="15" hidden="false" customHeight="false" outlineLevel="0" collapsed="false">
      <c r="A5" s="9" t="n">
        <v>4</v>
      </c>
      <c r="B5" s="9" t="s">
        <v>80</v>
      </c>
      <c r="C5" s="9" t="s">
        <v>35</v>
      </c>
      <c r="D5" s="9" t="s">
        <v>74</v>
      </c>
      <c r="E5" s="9" t="s">
        <v>41</v>
      </c>
      <c r="F5" s="9" t="s">
        <v>75</v>
      </c>
      <c r="G5" s="9" t="s">
        <v>76</v>
      </c>
      <c r="H5" s="10" t="n">
        <v>6.18</v>
      </c>
      <c r="I5" s="9" t="str">
        <f aca="false">IF(OR(G5="links",G5="gegen UZS"),INDEX(Bezugspunkte!$C:$C,MATCH(F5,Bezugspunkte!$A:$A,0)),INDEX(Bezugspunkte!$E:$E,MATCH(F5,Bezugspunkte!$A:$A,0)))</f>
        <v>Q1-L</v>
      </c>
      <c r="J5" s="10" t="n">
        <f aca="false">IF(OR(G5="links",G5="gegen UZS"),INDEX(Bezugspunkte!$D:$D,MATCH(F5,Bezugspunkte!$A:$A,0)),INDEX(Bezugspunkte!$F:$F,MATCH(F5,Bezugspunkte!$A:$A,0)))</f>
        <v>14.602</v>
      </c>
      <c r="K5" s="10" t="n">
        <f aca="false">J5-H5</f>
        <v>8.422</v>
      </c>
      <c r="L5" s="10" t="n">
        <f aca="false">IF(AND(F5=F4,G5=G4),H5-H4,H5)</f>
        <v>2.553</v>
      </c>
      <c r="M5" s="10" t="n">
        <v>-6.127</v>
      </c>
      <c r="N5" s="10" t="n">
        <v>33.482</v>
      </c>
    </row>
    <row r="6" customFormat="false" ht="15" hidden="false" customHeight="false" outlineLevel="0" collapsed="false">
      <c r="A6" s="9" t="n">
        <v>5</v>
      </c>
      <c r="B6" s="9" t="s">
        <v>81</v>
      </c>
      <c r="C6" s="9" t="s">
        <v>35</v>
      </c>
      <c r="D6" s="9" t="s">
        <v>74</v>
      </c>
      <c r="E6" s="9" t="s">
        <v>41</v>
      </c>
      <c r="F6" s="9" t="s">
        <v>75</v>
      </c>
      <c r="G6" s="9" t="s">
        <v>76</v>
      </c>
      <c r="H6" s="10" t="n">
        <v>7.724</v>
      </c>
      <c r="I6" s="9" t="str">
        <f aca="false">IF(OR(G6="links",G6="gegen UZS"),INDEX(Bezugspunkte!$C:$C,MATCH(F6,Bezugspunkte!$A:$A,0)),INDEX(Bezugspunkte!$E:$E,MATCH(F6,Bezugspunkte!$A:$A,0)))</f>
        <v>Q1-L</v>
      </c>
      <c r="J6" s="10" t="n">
        <f aca="false">IF(OR(G6="links",G6="gegen UZS"),INDEX(Bezugspunkte!$D:$D,MATCH(F6,Bezugspunkte!$A:$A,0)),INDEX(Bezugspunkte!$F:$F,MATCH(F6,Bezugspunkte!$A:$A,0)))</f>
        <v>14.602</v>
      </c>
      <c r="K6" s="10" t="n">
        <f aca="false">J6-H6</f>
        <v>6.878</v>
      </c>
      <c r="L6" s="10" t="n">
        <f aca="false">IF(AND(F6=F5,G6=G5),H6-H5,H6)</f>
        <v>1.544</v>
      </c>
      <c r="M6" s="10" t="n">
        <v>-7.671</v>
      </c>
      <c r="N6" s="10" t="n">
        <v>33.482</v>
      </c>
    </row>
    <row r="7" customFormat="false" ht="15" hidden="false" customHeight="false" outlineLevel="0" collapsed="false">
      <c r="A7" s="9" t="n">
        <v>6</v>
      </c>
      <c r="B7" s="9" t="s">
        <v>82</v>
      </c>
      <c r="C7" s="9" t="s">
        <v>35</v>
      </c>
      <c r="D7" s="9" t="s">
        <v>74</v>
      </c>
      <c r="E7" s="9" t="s">
        <v>41</v>
      </c>
      <c r="F7" s="9" t="s">
        <v>75</v>
      </c>
      <c r="G7" s="9" t="s">
        <v>83</v>
      </c>
      <c r="H7" s="10" t="n">
        <v>2.268</v>
      </c>
      <c r="I7" s="9" t="str">
        <f aca="false">IF(OR(G7="links",G7="gegen UZS"),INDEX(Bezugspunkte!$C:$C,MATCH(F7,Bezugspunkte!$A:$A,0)),INDEX(Bezugspunkte!$E:$E,MATCH(F7,Bezugspunkte!$A:$A,0)))</f>
        <v>Q1-R</v>
      </c>
      <c r="J7" s="10" t="n">
        <f aca="false">IF(OR(G7="links",G7="gegen UZS"),INDEX(Bezugspunkte!$D:$D,MATCH(F7,Bezugspunkte!$A:$A,0)),INDEX(Bezugspunkte!$F:$F,MATCH(F7,Bezugspunkte!$A:$A,0)))</f>
        <v>14.602</v>
      </c>
      <c r="K7" s="10" t="n">
        <f aca="false">J7-H7</f>
        <v>12.334</v>
      </c>
      <c r="L7" s="10" t="n">
        <f aca="false">IF(AND(F7=F6,G7=G6),H7-H6,H7)</f>
        <v>2.268</v>
      </c>
      <c r="M7" s="10" t="n">
        <v>2.32</v>
      </c>
      <c r="N7" s="10" t="n">
        <v>33.482</v>
      </c>
    </row>
    <row r="8" customFormat="false" ht="15" hidden="false" customHeight="false" outlineLevel="0" collapsed="false">
      <c r="A8" s="9" t="n">
        <v>7</v>
      </c>
      <c r="B8" s="9" t="s">
        <v>84</v>
      </c>
      <c r="C8" s="9" t="s">
        <v>37</v>
      </c>
      <c r="D8" s="9" t="s">
        <v>78</v>
      </c>
      <c r="E8" s="9" t="s">
        <v>41</v>
      </c>
      <c r="F8" s="9" t="s">
        <v>75</v>
      </c>
      <c r="G8" s="9" t="s">
        <v>83</v>
      </c>
      <c r="H8" s="10" t="n">
        <v>3.17</v>
      </c>
      <c r="I8" s="9" t="str">
        <f aca="false">IF(OR(G8="links",G8="gegen UZS"),INDEX(Bezugspunkte!$C:$C,MATCH(F8,Bezugspunkte!$A:$A,0)),INDEX(Bezugspunkte!$E:$E,MATCH(F8,Bezugspunkte!$A:$A,0)))</f>
        <v>Q1-R</v>
      </c>
      <c r="J8" s="10" t="n">
        <f aca="false">IF(OR(G8="links",G8="gegen UZS"),INDEX(Bezugspunkte!$D:$D,MATCH(F8,Bezugspunkte!$A:$A,0)),INDEX(Bezugspunkte!$F:$F,MATCH(F8,Bezugspunkte!$A:$A,0)))</f>
        <v>14.602</v>
      </c>
      <c r="K8" s="10" t="n">
        <f aca="false">J8-H8</f>
        <v>11.432</v>
      </c>
      <c r="L8" s="10" t="n">
        <f aca="false">IF(AND(F8=F7,G8=G7),H8-H7,H8)</f>
        <v>0.902</v>
      </c>
      <c r="M8" s="10" t="n">
        <v>3.223</v>
      </c>
      <c r="N8" s="10" t="n">
        <v>33.482</v>
      </c>
    </row>
    <row r="9" customFormat="false" ht="15" hidden="false" customHeight="false" outlineLevel="0" collapsed="false">
      <c r="A9" s="9" t="n">
        <v>8</v>
      </c>
      <c r="B9" s="9" t="s">
        <v>85</v>
      </c>
      <c r="C9" s="9" t="s">
        <v>37</v>
      </c>
      <c r="D9" s="9" t="s">
        <v>78</v>
      </c>
      <c r="E9" s="9" t="s">
        <v>41</v>
      </c>
      <c r="F9" s="9" t="s">
        <v>75</v>
      </c>
      <c r="G9" s="9" t="s">
        <v>83</v>
      </c>
      <c r="H9" s="10" t="n">
        <v>4.171</v>
      </c>
      <c r="I9" s="9" t="str">
        <f aca="false">IF(OR(G9="links",G9="gegen UZS"),INDEX(Bezugspunkte!$C:$C,MATCH(F9,Bezugspunkte!$A:$A,0)),INDEX(Bezugspunkte!$E:$E,MATCH(F9,Bezugspunkte!$A:$A,0)))</f>
        <v>Q1-R</v>
      </c>
      <c r="J9" s="10" t="n">
        <f aca="false">IF(OR(G9="links",G9="gegen UZS"),INDEX(Bezugspunkte!$D:$D,MATCH(F9,Bezugspunkte!$A:$A,0)),INDEX(Bezugspunkte!$F:$F,MATCH(F9,Bezugspunkte!$A:$A,0)))</f>
        <v>14.602</v>
      </c>
      <c r="K9" s="10" t="n">
        <f aca="false">J9-H9</f>
        <v>10.431</v>
      </c>
      <c r="L9" s="10" t="n">
        <f aca="false">IF(AND(F9=F8,G9=G8),H9-H8,H9)</f>
        <v>1.001</v>
      </c>
      <c r="M9" s="10" t="n">
        <v>4.224</v>
      </c>
      <c r="N9" s="10" t="n">
        <v>33.482</v>
      </c>
    </row>
    <row r="10" customFormat="false" ht="15" hidden="false" customHeight="false" outlineLevel="0" collapsed="false">
      <c r="A10" s="9" t="n">
        <v>9</v>
      </c>
      <c r="B10" s="9" t="s">
        <v>86</v>
      </c>
      <c r="C10" s="9" t="s">
        <v>35</v>
      </c>
      <c r="D10" s="9" t="s">
        <v>74</v>
      </c>
      <c r="E10" s="9" t="s">
        <v>41</v>
      </c>
      <c r="F10" s="9" t="s">
        <v>75</v>
      </c>
      <c r="G10" s="9" t="s">
        <v>83</v>
      </c>
      <c r="H10" s="10" t="n">
        <v>6.717</v>
      </c>
      <c r="I10" s="9" t="str">
        <f aca="false">IF(OR(G10="links",G10="gegen UZS"),INDEX(Bezugspunkte!$C:$C,MATCH(F10,Bezugspunkte!$A:$A,0)),INDEX(Bezugspunkte!$E:$E,MATCH(F10,Bezugspunkte!$A:$A,0)))</f>
        <v>Q1-R</v>
      </c>
      <c r="J10" s="10" t="n">
        <f aca="false">IF(OR(G10="links",G10="gegen UZS"),INDEX(Bezugspunkte!$D:$D,MATCH(F10,Bezugspunkte!$A:$A,0)),INDEX(Bezugspunkte!$F:$F,MATCH(F10,Bezugspunkte!$A:$A,0)))</f>
        <v>14.602</v>
      </c>
      <c r="K10" s="10" t="n">
        <f aca="false">J10-H10</f>
        <v>7.885</v>
      </c>
      <c r="L10" s="10" t="n">
        <f aca="false">IF(AND(F10=F9,G10=G9),H10-H9,H10)</f>
        <v>2.546</v>
      </c>
      <c r="M10" s="10" t="n">
        <v>6.77</v>
      </c>
      <c r="N10" s="10" t="n">
        <v>33.482</v>
      </c>
    </row>
    <row r="11" customFormat="false" ht="15" hidden="false" customHeight="false" outlineLevel="0" collapsed="false">
      <c r="A11" s="9" t="n">
        <v>10</v>
      </c>
      <c r="B11" s="9" t="s">
        <v>87</v>
      </c>
      <c r="C11" s="9" t="s">
        <v>35</v>
      </c>
      <c r="D11" s="9" t="s">
        <v>74</v>
      </c>
      <c r="E11" s="9" t="s">
        <v>41</v>
      </c>
      <c r="F11" s="9" t="s">
        <v>75</v>
      </c>
      <c r="G11" s="9" t="s">
        <v>83</v>
      </c>
      <c r="H11" s="10" t="n">
        <v>8.268</v>
      </c>
      <c r="I11" s="9" t="str">
        <f aca="false">IF(OR(G11="links",G11="gegen UZS"),INDEX(Bezugspunkte!$C:$C,MATCH(F11,Bezugspunkte!$A:$A,0)),INDEX(Bezugspunkte!$E:$E,MATCH(F11,Bezugspunkte!$A:$A,0)))</f>
        <v>Q1-R</v>
      </c>
      <c r="J11" s="10" t="n">
        <f aca="false">IF(OR(G11="links",G11="gegen UZS"),INDEX(Bezugspunkte!$D:$D,MATCH(F11,Bezugspunkte!$A:$A,0)),INDEX(Bezugspunkte!$F:$F,MATCH(F11,Bezugspunkte!$A:$A,0)))</f>
        <v>14.602</v>
      </c>
      <c r="K11" s="10" t="n">
        <f aca="false">J11-H11</f>
        <v>6.334</v>
      </c>
      <c r="L11" s="10" t="n">
        <f aca="false">IF(AND(F11=F10,G11=G10),H11-H10,H11)</f>
        <v>1.551</v>
      </c>
      <c r="M11" s="10" t="n">
        <v>8.321</v>
      </c>
      <c r="N11" s="10" t="n">
        <v>33.482</v>
      </c>
    </row>
    <row r="12" customFormat="false" ht="15" hidden="false" customHeight="false" outlineLevel="0" collapsed="false">
      <c r="A12" s="9" t="n">
        <v>11</v>
      </c>
      <c r="B12" s="9" t="s">
        <v>88</v>
      </c>
      <c r="C12" s="9" t="s">
        <v>31</v>
      </c>
      <c r="D12" s="9" t="s">
        <v>89</v>
      </c>
      <c r="E12" s="9" t="s">
        <v>42</v>
      </c>
      <c r="F12" s="9" t="s">
        <v>90</v>
      </c>
      <c r="G12" s="9" t="s">
        <v>76</v>
      </c>
      <c r="H12" s="10" t="n">
        <v>0.683</v>
      </c>
      <c r="I12" s="9" t="str">
        <f aca="false">IF(OR(G12="links",G12="gegen UZS"),INDEX(Bezugspunkte!$C:$C,MATCH(F12,Bezugspunkte!$A:$A,0)),INDEX(Bezugspunkte!$E:$E,MATCH(F12,Bezugspunkte!$A:$A,0)))</f>
        <v>KI16</v>
      </c>
      <c r="J12" s="10" t="n">
        <f aca="false">IF(OR(G12="links",G12="gegen UZS"),INDEX(Bezugspunkte!$D:$D,MATCH(F12,Bezugspunkte!$A:$A,0)),INDEX(Bezugspunkte!$F:$F,MATCH(F12,Bezugspunkte!$A:$A,0)))</f>
        <v>17.025</v>
      </c>
      <c r="K12" s="10" t="n">
        <f aca="false">J12-H12</f>
        <v>16.342</v>
      </c>
      <c r="L12" s="10" t="n">
        <f aca="false">IF(AND(F12=F11,G12=G11),H12-H11,H12)</f>
        <v>0.683</v>
      </c>
      <c r="M12" s="10" t="n">
        <v>-0.627</v>
      </c>
      <c r="N12" s="10" t="n">
        <v>21.986</v>
      </c>
    </row>
    <row r="13" customFormat="false" ht="15" hidden="false" customHeight="false" outlineLevel="0" collapsed="false">
      <c r="A13" s="9" t="n">
        <v>12</v>
      </c>
      <c r="B13" s="9" t="s">
        <v>91</v>
      </c>
      <c r="C13" s="9" t="s">
        <v>35</v>
      </c>
      <c r="D13" s="9" t="s">
        <v>74</v>
      </c>
      <c r="E13" s="9" t="s">
        <v>42</v>
      </c>
      <c r="F13" s="9" t="s">
        <v>90</v>
      </c>
      <c r="G13" s="9" t="s">
        <v>76</v>
      </c>
      <c r="H13" s="10" t="n">
        <v>2.883</v>
      </c>
      <c r="I13" s="9" t="str">
        <f aca="false">IF(OR(G13="links",G13="gegen UZS"),INDEX(Bezugspunkte!$C:$C,MATCH(F13,Bezugspunkte!$A:$A,0)),INDEX(Bezugspunkte!$E:$E,MATCH(F13,Bezugspunkte!$A:$A,0)))</f>
        <v>KI16</v>
      </c>
      <c r="J13" s="10" t="n">
        <f aca="false">IF(OR(G13="links",G13="gegen UZS"),INDEX(Bezugspunkte!$D:$D,MATCH(F13,Bezugspunkte!$A:$A,0)),INDEX(Bezugspunkte!$F:$F,MATCH(F13,Bezugspunkte!$A:$A,0)))</f>
        <v>17.025</v>
      </c>
      <c r="K13" s="10" t="n">
        <f aca="false">J13-H13</f>
        <v>14.142</v>
      </c>
      <c r="L13" s="10" t="n">
        <f aca="false">IF(AND(F13=F12,G13=G12),H13-H12,H13)</f>
        <v>2.2</v>
      </c>
      <c r="M13" s="10" t="n">
        <v>-2.827</v>
      </c>
      <c r="N13" s="10" t="n">
        <v>21.986</v>
      </c>
    </row>
    <row r="14" customFormat="false" ht="15" hidden="false" customHeight="false" outlineLevel="0" collapsed="false">
      <c r="A14" s="9" t="n">
        <v>13</v>
      </c>
      <c r="B14" s="9" t="s">
        <v>92</v>
      </c>
      <c r="C14" s="9" t="s">
        <v>31</v>
      </c>
      <c r="D14" s="9" t="s">
        <v>89</v>
      </c>
      <c r="E14" s="9" t="s">
        <v>42</v>
      </c>
      <c r="F14" s="9" t="s">
        <v>90</v>
      </c>
      <c r="G14" s="9" t="s">
        <v>76</v>
      </c>
      <c r="H14" s="10" t="n">
        <v>3.877</v>
      </c>
      <c r="I14" s="9" t="str">
        <f aca="false">IF(OR(G14="links",G14="gegen UZS"),INDEX(Bezugspunkte!$C:$C,MATCH(F14,Bezugspunkte!$A:$A,0)),INDEX(Bezugspunkte!$E:$E,MATCH(F14,Bezugspunkte!$A:$A,0)))</f>
        <v>KI16</v>
      </c>
      <c r="J14" s="10" t="n">
        <f aca="false">IF(OR(G14="links",G14="gegen UZS"),INDEX(Bezugspunkte!$D:$D,MATCH(F14,Bezugspunkte!$A:$A,0)),INDEX(Bezugspunkte!$F:$F,MATCH(F14,Bezugspunkte!$A:$A,0)))</f>
        <v>17.025</v>
      </c>
      <c r="K14" s="10" t="n">
        <f aca="false">J14-H14</f>
        <v>13.148</v>
      </c>
      <c r="L14" s="10" t="n">
        <f aca="false">IF(AND(F14=F13,G14=G13),H14-H13,H14)</f>
        <v>0.994</v>
      </c>
      <c r="M14" s="10" t="n">
        <v>-3.821</v>
      </c>
      <c r="N14" s="10" t="n">
        <v>21.986</v>
      </c>
    </row>
    <row r="15" customFormat="false" ht="15" hidden="false" customHeight="false" outlineLevel="0" collapsed="false">
      <c r="A15" s="9" t="n">
        <v>14</v>
      </c>
      <c r="B15" s="9" t="s">
        <v>93</v>
      </c>
      <c r="C15" s="9" t="s">
        <v>35</v>
      </c>
      <c r="D15" s="9" t="s">
        <v>74</v>
      </c>
      <c r="E15" s="9" t="s">
        <v>42</v>
      </c>
      <c r="F15" s="9" t="s">
        <v>90</v>
      </c>
      <c r="G15" s="9" t="s">
        <v>76</v>
      </c>
      <c r="H15" s="10" t="n">
        <v>5.88</v>
      </c>
      <c r="I15" s="9" t="str">
        <f aca="false">IF(OR(G15="links",G15="gegen UZS"),INDEX(Bezugspunkte!$C:$C,MATCH(F15,Bezugspunkte!$A:$A,0)),INDEX(Bezugspunkte!$E:$E,MATCH(F15,Bezugspunkte!$A:$A,0)))</f>
        <v>KI16</v>
      </c>
      <c r="J15" s="10" t="n">
        <f aca="false">IF(OR(G15="links",G15="gegen UZS"),INDEX(Bezugspunkte!$D:$D,MATCH(F15,Bezugspunkte!$A:$A,0)),INDEX(Bezugspunkte!$F:$F,MATCH(F15,Bezugspunkte!$A:$A,0)))</f>
        <v>17.025</v>
      </c>
      <c r="K15" s="10" t="n">
        <f aca="false">J15-H15</f>
        <v>11.145</v>
      </c>
      <c r="L15" s="10" t="n">
        <f aca="false">IF(AND(F15=F14,G15=G14),H15-H14,H15)</f>
        <v>2.003</v>
      </c>
      <c r="M15" s="10" t="n">
        <v>-5.824</v>
      </c>
      <c r="N15" s="10" t="n">
        <v>21.986</v>
      </c>
    </row>
    <row r="16" customFormat="false" ht="15" hidden="false" customHeight="false" outlineLevel="0" collapsed="false">
      <c r="A16" s="9" t="n">
        <v>15</v>
      </c>
      <c r="B16" s="9" t="s">
        <v>94</v>
      </c>
      <c r="C16" s="9" t="s">
        <v>31</v>
      </c>
      <c r="D16" s="9" t="s">
        <v>89</v>
      </c>
      <c r="E16" s="9" t="s">
        <v>42</v>
      </c>
      <c r="F16" s="9" t="s">
        <v>90</v>
      </c>
      <c r="G16" s="9" t="s">
        <v>76</v>
      </c>
      <c r="H16" s="10" t="n">
        <v>9.173</v>
      </c>
      <c r="I16" s="9" t="str">
        <f aca="false">IF(OR(G16="links",G16="gegen UZS"),INDEX(Bezugspunkte!$C:$C,MATCH(F16,Bezugspunkte!$A:$A,0)),INDEX(Bezugspunkte!$E:$E,MATCH(F16,Bezugspunkte!$A:$A,0)))</f>
        <v>KI16</v>
      </c>
      <c r="J16" s="10" t="n">
        <f aca="false">IF(OR(G16="links",G16="gegen UZS"),INDEX(Bezugspunkte!$D:$D,MATCH(F16,Bezugspunkte!$A:$A,0)),INDEX(Bezugspunkte!$F:$F,MATCH(F16,Bezugspunkte!$A:$A,0)))</f>
        <v>17.025</v>
      </c>
      <c r="K16" s="10" t="n">
        <f aca="false">J16-H16</f>
        <v>7.852</v>
      </c>
      <c r="L16" s="10" t="n">
        <f aca="false">IF(AND(F16=F15,G16=G15),H16-H15,H16)</f>
        <v>3.293</v>
      </c>
      <c r="M16" s="10" t="n">
        <v>-9.116</v>
      </c>
      <c r="N16" s="10" t="n">
        <v>21.986</v>
      </c>
    </row>
    <row r="17" customFormat="false" ht="15" hidden="false" customHeight="false" outlineLevel="0" collapsed="false">
      <c r="A17" s="9" t="n">
        <v>16</v>
      </c>
      <c r="B17" s="9" t="s">
        <v>95</v>
      </c>
      <c r="C17" s="9" t="s">
        <v>35</v>
      </c>
      <c r="D17" s="9" t="s">
        <v>74</v>
      </c>
      <c r="E17" s="9" t="s">
        <v>42</v>
      </c>
      <c r="F17" s="9" t="s">
        <v>90</v>
      </c>
      <c r="G17" s="9" t="s">
        <v>76</v>
      </c>
      <c r="H17" s="10" t="n">
        <v>10.379</v>
      </c>
      <c r="I17" s="9" t="str">
        <f aca="false">IF(OR(G17="links",G17="gegen UZS"),INDEX(Bezugspunkte!$C:$C,MATCH(F17,Bezugspunkte!$A:$A,0)),INDEX(Bezugspunkte!$E:$E,MATCH(F17,Bezugspunkte!$A:$A,0)))</f>
        <v>KI16</v>
      </c>
      <c r="J17" s="10" t="n">
        <f aca="false">IF(OR(G17="links",G17="gegen UZS"),INDEX(Bezugspunkte!$D:$D,MATCH(F17,Bezugspunkte!$A:$A,0)),INDEX(Bezugspunkte!$F:$F,MATCH(F17,Bezugspunkte!$A:$A,0)))</f>
        <v>17.025</v>
      </c>
      <c r="K17" s="10" t="n">
        <f aca="false">J17-H17</f>
        <v>6.646</v>
      </c>
      <c r="L17" s="10" t="n">
        <f aca="false">IF(AND(F17=F16,G17=G16),H17-H16,H17)</f>
        <v>1.206</v>
      </c>
      <c r="M17" s="10" t="n">
        <v>-10.322</v>
      </c>
      <c r="N17" s="10" t="n">
        <v>21.986</v>
      </c>
    </row>
    <row r="18" customFormat="false" ht="15" hidden="false" customHeight="false" outlineLevel="0" collapsed="false">
      <c r="A18" s="9" t="n">
        <v>17</v>
      </c>
      <c r="B18" s="9" t="s">
        <v>96</v>
      </c>
      <c r="C18" s="9" t="s">
        <v>35</v>
      </c>
      <c r="D18" s="9" t="s">
        <v>74</v>
      </c>
      <c r="E18" s="9" t="s">
        <v>42</v>
      </c>
      <c r="F18" s="9" t="s">
        <v>90</v>
      </c>
      <c r="G18" s="9" t="s">
        <v>76</v>
      </c>
      <c r="H18" s="10" t="n">
        <v>11.373</v>
      </c>
      <c r="I18" s="9" t="str">
        <f aca="false">IF(OR(G18="links",G18="gegen UZS"),INDEX(Bezugspunkte!$C:$C,MATCH(F18,Bezugspunkte!$A:$A,0)),INDEX(Bezugspunkte!$E:$E,MATCH(F18,Bezugspunkte!$A:$A,0)))</f>
        <v>KI16</v>
      </c>
      <c r="J18" s="10" t="n">
        <f aca="false">IF(OR(G18="links",G18="gegen UZS"),INDEX(Bezugspunkte!$D:$D,MATCH(F18,Bezugspunkte!$A:$A,0)),INDEX(Bezugspunkte!$F:$F,MATCH(F18,Bezugspunkte!$A:$A,0)))</f>
        <v>17.025</v>
      </c>
      <c r="K18" s="10" t="n">
        <f aca="false">J18-H18</f>
        <v>5.652</v>
      </c>
      <c r="L18" s="10" t="n">
        <f aca="false">IF(AND(F18=F17,G18=G17),H18-H17,H18)</f>
        <v>0.994</v>
      </c>
      <c r="M18" s="10" t="n">
        <v>-11.316</v>
      </c>
      <c r="N18" s="10" t="n">
        <v>21.986</v>
      </c>
    </row>
    <row r="19" customFormat="false" ht="15" hidden="false" customHeight="false" outlineLevel="0" collapsed="false">
      <c r="A19" s="9" t="n">
        <v>18</v>
      </c>
      <c r="B19" s="9" t="s">
        <v>97</v>
      </c>
      <c r="C19" s="9" t="s">
        <v>31</v>
      </c>
      <c r="D19" s="9" t="s">
        <v>89</v>
      </c>
      <c r="E19" s="9" t="s">
        <v>42</v>
      </c>
      <c r="F19" s="9" t="s">
        <v>90</v>
      </c>
      <c r="G19" s="9" t="s">
        <v>76</v>
      </c>
      <c r="H19" s="10" t="n">
        <v>13.171</v>
      </c>
      <c r="I19" s="9" t="str">
        <f aca="false">IF(OR(G19="links",G19="gegen UZS"),INDEX(Bezugspunkte!$C:$C,MATCH(F19,Bezugspunkte!$A:$A,0)),INDEX(Bezugspunkte!$E:$E,MATCH(F19,Bezugspunkte!$A:$A,0)))</f>
        <v>KI16</v>
      </c>
      <c r="J19" s="10" t="n">
        <f aca="false">IF(OR(G19="links",G19="gegen UZS"),INDEX(Bezugspunkte!$D:$D,MATCH(F19,Bezugspunkte!$A:$A,0)),INDEX(Bezugspunkte!$F:$F,MATCH(F19,Bezugspunkte!$A:$A,0)))</f>
        <v>17.025</v>
      </c>
      <c r="K19" s="10" t="n">
        <f aca="false">J19-H19</f>
        <v>3.854</v>
      </c>
      <c r="L19" s="10" t="n">
        <f aca="false">IF(AND(F19=F18,G19=G18),H19-H18,H19)</f>
        <v>1.798</v>
      </c>
      <c r="M19" s="10" t="n">
        <v>-13.114</v>
      </c>
      <c r="N19" s="10" t="n">
        <v>21.986</v>
      </c>
    </row>
    <row r="20" customFormat="false" ht="15" hidden="false" customHeight="false" outlineLevel="0" collapsed="false">
      <c r="A20" s="9" t="n">
        <v>19</v>
      </c>
      <c r="B20" s="9" t="s">
        <v>98</v>
      </c>
      <c r="C20" s="9" t="s">
        <v>37</v>
      </c>
      <c r="D20" s="9" t="s">
        <v>78</v>
      </c>
      <c r="E20" s="9" t="s">
        <v>42</v>
      </c>
      <c r="F20" s="9" t="s">
        <v>90</v>
      </c>
      <c r="G20" s="9" t="s">
        <v>76</v>
      </c>
      <c r="H20" s="10" t="n">
        <v>14.172</v>
      </c>
      <c r="I20" s="9" t="str">
        <f aca="false">IF(OR(G20="links",G20="gegen UZS"),INDEX(Bezugspunkte!$C:$C,MATCH(F20,Bezugspunkte!$A:$A,0)),INDEX(Bezugspunkte!$E:$E,MATCH(F20,Bezugspunkte!$A:$A,0)))</f>
        <v>KI16</v>
      </c>
      <c r="J20" s="10" t="n">
        <f aca="false">IF(OR(G20="links",G20="gegen UZS"),INDEX(Bezugspunkte!$D:$D,MATCH(F20,Bezugspunkte!$A:$A,0)),INDEX(Bezugspunkte!$F:$F,MATCH(F20,Bezugspunkte!$A:$A,0)))</f>
        <v>17.025</v>
      </c>
      <c r="K20" s="10" t="n">
        <f aca="false">J20-H20</f>
        <v>2.853</v>
      </c>
      <c r="L20" s="10" t="n">
        <f aca="false">IF(AND(F20=F19,G20=G19),H20-H19,H20)</f>
        <v>1.001</v>
      </c>
      <c r="M20" s="10" t="n">
        <v>-14.116</v>
      </c>
      <c r="N20" s="10" t="n">
        <v>21.986</v>
      </c>
    </row>
    <row r="21" customFormat="false" ht="15" hidden="false" customHeight="false" outlineLevel="0" collapsed="false">
      <c r="A21" s="9" t="n">
        <v>20</v>
      </c>
      <c r="B21" s="9" t="s">
        <v>99</v>
      </c>
      <c r="C21" s="9" t="s">
        <v>31</v>
      </c>
      <c r="D21" s="9" t="s">
        <v>89</v>
      </c>
      <c r="E21" s="9" t="s">
        <v>42</v>
      </c>
      <c r="F21" s="9" t="s">
        <v>90</v>
      </c>
      <c r="G21" s="9" t="s">
        <v>76</v>
      </c>
      <c r="H21" s="10" t="n">
        <v>16.175</v>
      </c>
      <c r="I21" s="9" t="str">
        <f aca="false">IF(OR(G21="links",G21="gegen UZS"),INDEX(Bezugspunkte!$C:$C,MATCH(F21,Bezugspunkte!$A:$A,0)),INDEX(Bezugspunkte!$E:$E,MATCH(F21,Bezugspunkte!$A:$A,0)))</f>
        <v>KI16</v>
      </c>
      <c r="J21" s="10" t="n">
        <f aca="false">IF(OR(G21="links",G21="gegen UZS"),INDEX(Bezugspunkte!$D:$D,MATCH(F21,Bezugspunkte!$A:$A,0)),INDEX(Bezugspunkte!$F:$F,MATCH(F21,Bezugspunkte!$A:$A,0)))</f>
        <v>17.025</v>
      </c>
      <c r="K21" s="10" t="n">
        <f aca="false">J21-H21</f>
        <v>0.849999999999998</v>
      </c>
      <c r="L21" s="10" t="n">
        <f aca="false">IF(AND(F21=F20,G21=G20),H21-H20,H21)</f>
        <v>2.003</v>
      </c>
      <c r="M21" s="10" t="n">
        <v>-16.118</v>
      </c>
      <c r="N21" s="10" t="n">
        <v>21.986</v>
      </c>
    </row>
    <row r="22" customFormat="false" ht="15" hidden="false" customHeight="false" outlineLevel="0" collapsed="false">
      <c r="A22" s="9" t="n">
        <v>21</v>
      </c>
      <c r="B22" s="9" t="s">
        <v>100</v>
      </c>
      <c r="C22" s="9" t="s">
        <v>31</v>
      </c>
      <c r="D22" s="9" t="s">
        <v>89</v>
      </c>
      <c r="E22" s="9" t="s">
        <v>42</v>
      </c>
      <c r="F22" s="9" t="s">
        <v>90</v>
      </c>
      <c r="G22" s="9" t="s">
        <v>83</v>
      </c>
      <c r="H22" s="10" t="n">
        <v>0.621</v>
      </c>
      <c r="I22" s="9" t="str">
        <f aca="false">IF(OR(G22="links",G22="gegen UZS"),INDEX(Bezugspunkte!$C:$C,MATCH(F22,Bezugspunkte!$A:$A,0)),INDEX(Bezugspunkte!$E:$E,MATCH(F22,Bezugspunkte!$A:$A,0)))</f>
        <v>KI05</v>
      </c>
      <c r="J22" s="10" t="n">
        <f aca="false">IF(OR(G22="links",G22="gegen UZS"),INDEX(Bezugspunkte!$D:$D,MATCH(F22,Bezugspunkte!$A:$A,0)),INDEX(Bezugspunkte!$F:$F,MATCH(F22,Bezugspunkte!$A:$A,0)))</f>
        <v>17.008</v>
      </c>
      <c r="K22" s="10" t="n">
        <f aca="false">J22-H22</f>
        <v>16.387</v>
      </c>
      <c r="L22" s="10" t="n">
        <f aca="false">IF(AND(F22=F21,G22=G21),H22-H21,H22)</f>
        <v>0.621</v>
      </c>
      <c r="M22" s="10" t="n">
        <v>0.678</v>
      </c>
      <c r="N22" s="10" t="n">
        <v>21.986</v>
      </c>
    </row>
    <row r="23" customFormat="false" ht="15" hidden="false" customHeight="false" outlineLevel="0" collapsed="false">
      <c r="A23" s="9" t="n">
        <v>22</v>
      </c>
      <c r="B23" s="9" t="s">
        <v>101</v>
      </c>
      <c r="C23" s="9" t="s">
        <v>35</v>
      </c>
      <c r="D23" s="9" t="s">
        <v>74</v>
      </c>
      <c r="E23" s="9" t="s">
        <v>42</v>
      </c>
      <c r="F23" s="9" t="s">
        <v>90</v>
      </c>
      <c r="G23" s="9" t="s">
        <v>83</v>
      </c>
      <c r="H23" s="10" t="n">
        <v>2.814</v>
      </c>
      <c r="I23" s="9" t="str">
        <f aca="false">IF(OR(G23="links",G23="gegen UZS"),INDEX(Bezugspunkte!$C:$C,MATCH(F23,Bezugspunkte!$A:$A,0)),INDEX(Bezugspunkte!$E:$E,MATCH(F23,Bezugspunkte!$A:$A,0)))</f>
        <v>KI05</v>
      </c>
      <c r="J23" s="10" t="n">
        <f aca="false">IF(OR(G23="links",G23="gegen UZS"),INDEX(Bezugspunkte!$D:$D,MATCH(F23,Bezugspunkte!$A:$A,0)),INDEX(Bezugspunkte!$F:$F,MATCH(F23,Bezugspunkte!$A:$A,0)))</f>
        <v>17.008</v>
      </c>
      <c r="K23" s="10" t="n">
        <f aca="false">J23-H23</f>
        <v>14.194</v>
      </c>
      <c r="L23" s="10" t="n">
        <f aca="false">IF(AND(F23=F22,G23=G22),H23-H22,H23)</f>
        <v>2.193</v>
      </c>
      <c r="M23" s="10" t="n">
        <v>2.87</v>
      </c>
      <c r="N23" s="10" t="n">
        <v>21.986</v>
      </c>
    </row>
    <row r="24" customFormat="false" ht="15" hidden="false" customHeight="false" outlineLevel="0" collapsed="false">
      <c r="A24" s="9" t="n">
        <v>23</v>
      </c>
      <c r="B24" s="9" t="s">
        <v>102</v>
      </c>
      <c r="C24" s="9" t="s">
        <v>31</v>
      </c>
      <c r="D24" s="9" t="s">
        <v>89</v>
      </c>
      <c r="E24" s="9" t="s">
        <v>42</v>
      </c>
      <c r="F24" s="9" t="s">
        <v>90</v>
      </c>
      <c r="G24" s="9" t="s">
        <v>83</v>
      </c>
      <c r="H24" s="10" t="n">
        <v>3.815</v>
      </c>
      <c r="I24" s="9" t="str">
        <f aca="false">IF(OR(G24="links",G24="gegen UZS"),INDEX(Bezugspunkte!$C:$C,MATCH(F24,Bezugspunkte!$A:$A,0)),INDEX(Bezugspunkte!$E:$E,MATCH(F24,Bezugspunkte!$A:$A,0)))</f>
        <v>KI05</v>
      </c>
      <c r="J24" s="10" t="n">
        <f aca="false">IF(OR(G24="links",G24="gegen UZS"),INDEX(Bezugspunkte!$D:$D,MATCH(F24,Bezugspunkte!$A:$A,0)),INDEX(Bezugspunkte!$F:$F,MATCH(F24,Bezugspunkte!$A:$A,0)))</f>
        <v>17.008</v>
      </c>
      <c r="K24" s="10" t="n">
        <f aca="false">J24-H24</f>
        <v>13.193</v>
      </c>
      <c r="L24" s="10" t="n">
        <f aca="false">IF(AND(F24=F23,G24=G23),H24-H23,H24)</f>
        <v>1.001</v>
      </c>
      <c r="M24" s="10" t="n">
        <v>3.872</v>
      </c>
      <c r="N24" s="10" t="n">
        <v>21.986</v>
      </c>
    </row>
    <row r="25" customFormat="false" ht="15" hidden="false" customHeight="false" outlineLevel="0" collapsed="false">
      <c r="A25" s="9" t="n">
        <v>24</v>
      </c>
      <c r="B25" s="9" t="s">
        <v>103</v>
      </c>
      <c r="C25" s="9" t="s">
        <v>35</v>
      </c>
      <c r="D25" s="9" t="s">
        <v>74</v>
      </c>
      <c r="E25" s="9" t="s">
        <v>42</v>
      </c>
      <c r="F25" s="9" t="s">
        <v>90</v>
      </c>
      <c r="G25" s="9" t="s">
        <v>83</v>
      </c>
      <c r="H25" s="10" t="n">
        <v>5.811</v>
      </c>
      <c r="I25" s="9" t="str">
        <f aca="false">IF(OR(G25="links",G25="gegen UZS"),INDEX(Bezugspunkte!$C:$C,MATCH(F25,Bezugspunkte!$A:$A,0)),INDEX(Bezugspunkte!$E:$E,MATCH(F25,Bezugspunkte!$A:$A,0)))</f>
        <v>KI05</v>
      </c>
      <c r="J25" s="10" t="n">
        <f aca="false">IF(OR(G25="links",G25="gegen UZS"),INDEX(Bezugspunkte!$D:$D,MATCH(F25,Bezugspunkte!$A:$A,0)),INDEX(Bezugspunkte!$F:$F,MATCH(F25,Bezugspunkte!$A:$A,0)))</f>
        <v>17.008</v>
      </c>
      <c r="K25" s="10" t="n">
        <f aca="false">J25-H25</f>
        <v>11.197</v>
      </c>
      <c r="L25" s="10" t="n">
        <f aca="false">IF(AND(F25=F24,G25=G24),H25-H24,H25)</f>
        <v>1.996</v>
      </c>
      <c r="M25" s="10" t="n">
        <v>5.867</v>
      </c>
      <c r="N25" s="10" t="n">
        <v>21.986</v>
      </c>
    </row>
    <row r="26" customFormat="false" ht="15" hidden="false" customHeight="false" outlineLevel="0" collapsed="false">
      <c r="A26" s="9" t="n">
        <v>25</v>
      </c>
      <c r="B26" s="9" t="s">
        <v>104</v>
      </c>
      <c r="C26" s="9" t="s">
        <v>31</v>
      </c>
      <c r="D26" s="9" t="s">
        <v>89</v>
      </c>
      <c r="E26" s="9" t="s">
        <v>42</v>
      </c>
      <c r="F26" s="9" t="s">
        <v>90</v>
      </c>
      <c r="G26" s="9" t="s">
        <v>83</v>
      </c>
      <c r="H26" s="10" t="n">
        <v>9.111</v>
      </c>
      <c r="I26" s="9" t="str">
        <f aca="false">IF(OR(G26="links",G26="gegen UZS"),INDEX(Bezugspunkte!$C:$C,MATCH(F26,Bezugspunkte!$A:$A,0)),INDEX(Bezugspunkte!$E:$E,MATCH(F26,Bezugspunkte!$A:$A,0)))</f>
        <v>KI05</v>
      </c>
      <c r="J26" s="10" t="n">
        <f aca="false">IF(OR(G26="links",G26="gegen UZS"),INDEX(Bezugspunkte!$D:$D,MATCH(F26,Bezugspunkte!$A:$A,0)),INDEX(Bezugspunkte!$F:$F,MATCH(F26,Bezugspunkte!$A:$A,0)))</f>
        <v>17.008</v>
      </c>
      <c r="K26" s="10" t="n">
        <f aca="false">J26-H26</f>
        <v>7.897</v>
      </c>
      <c r="L26" s="10" t="n">
        <f aca="false">IF(AND(F26=F25,G26=G25),H26-H25,H26)</f>
        <v>3.3</v>
      </c>
      <c r="M26" s="10" t="n">
        <v>9.167</v>
      </c>
      <c r="N26" s="10" t="n">
        <v>21.986</v>
      </c>
    </row>
    <row r="27" customFormat="false" ht="15" hidden="false" customHeight="false" outlineLevel="0" collapsed="false">
      <c r="A27" s="9" t="n">
        <v>26</v>
      </c>
      <c r="B27" s="9" t="s">
        <v>105</v>
      </c>
      <c r="C27" s="9" t="s">
        <v>35</v>
      </c>
      <c r="D27" s="9" t="s">
        <v>74</v>
      </c>
      <c r="E27" s="9" t="s">
        <v>42</v>
      </c>
      <c r="F27" s="9" t="s">
        <v>90</v>
      </c>
      <c r="G27" s="9" t="s">
        <v>83</v>
      </c>
      <c r="H27" s="10" t="n">
        <v>10.309</v>
      </c>
      <c r="I27" s="9" t="str">
        <f aca="false">IF(OR(G27="links",G27="gegen UZS"),INDEX(Bezugspunkte!$C:$C,MATCH(F27,Bezugspunkte!$A:$A,0)),INDEX(Bezugspunkte!$E:$E,MATCH(F27,Bezugspunkte!$A:$A,0)))</f>
        <v>KI05</v>
      </c>
      <c r="J27" s="10" t="n">
        <f aca="false">IF(OR(G27="links",G27="gegen UZS"),INDEX(Bezugspunkte!$D:$D,MATCH(F27,Bezugspunkte!$A:$A,0)),INDEX(Bezugspunkte!$F:$F,MATCH(F27,Bezugspunkte!$A:$A,0)))</f>
        <v>17.008</v>
      </c>
      <c r="K27" s="10" t="n">
        <f aca="false">J27-H27</f>
        <v>6.699</v>
      </c>
      <c r="L27" s="10" t="n">
        <f aca="false">IF(AND(F27=F26,G27=G26),H27-H26,H27)</f>
        <v>1.198</v>
      </c>
      <c r="M27" s="10" t="n">
        <v>10.366</v>
      </c>
      <c r="N27" s="10" t="n">
        <v>21.986</v>
      </c>
    </row>
    <row r="28" customFormat="false" ht="15" hidden="false" customHeight="false" outlineLevel="0" collapsed="false">
      <c r="A28" s="9" t="n">
        <v>27</v>
      </c>
      <c r="B28" s="9" t="s">
        <v>106</v>
      </c>
      <c r="C28" s="9" t="s">
        <v>35</v>
      </c>
      <c r="D28" s="9" t="s">
        <v>74</v>
      </c>
      <c r="E28" s="9" t="s">
        <v>42</v>
      </c>
      <c r="F28" s="9" t="s">
        <v>90</v>
      </c>
      <c r="G28" s="9" t="s">
        <v>83</v>
      </c>
      <c r="H28" s="10" t="n">
        <v>11.311</v>
      </c>
      <c r="I28" s="9" t="str">
        <f aca="false">IF(OR(G28="links",G28="gegen UZS"),INDEX(Bezugspunkte!$C:$C,MATCH(F28,Bezugspunkte!$A:$A,0)),INDEX(Bezugspunkte!$E:$E,MATCH(F28,Bezugspunkte!$A:$A,0)))</f>
        <v>KI05</v>
      </c>
      <c r="J28" s="10" t="n">
        <f aca="false">IF(OR(G28="links",G28="gegen UZS"),INDEX(Bezugspunkte!$D:$D,MATCH(F28,Bezugspunkte!$A:$A,0)),INDEX(Bezugspunkte!$F:$F,MATCH(F28,Bezugspunkte!$A:$A,0)))</f>
        <v>17.008</v>
      </c>
      <c r="K28" s="10" t="n">
        <f aca="false">J28-H28</f>
        <v>5.697</v>
      </c>
      <c r="L28" s="10" t="n">
        <f aca="false">IF(AND(F28=F27,G28=G27),H28-H27,H28)</f>
        <v>1.002</v>
      </c>
      <c r="M28" s="10" t="n">
        <v>11.367</v>
      </c>
      <c r="N28" s="10" t="n">
        <v>21.986</v>
      </c>
    </row>
    <row r="29" customFormat="false" ht="15" hidden="false" customHeight="false" outlineLevel="0" collapsed="false">
      <c r="A29" s="9" t="n">
        <v>28</v>
      </c>
      <c r="B29" s="9" t="s">
        <v>107</v>
      </c>
      <c r="C29" s="9" t="s">
        <v>31</v>
      </c>
      <c r="D29" s="9" t="s">
        <v>89</v>
      </c>
      <c r="E29" s="9" t="s">
        <v>42</v>
      </c>
      <c r="F29" s="9" t="s">
        <v>90</v>
      </c>
      <c r="G29" s="9" t="s">
        <v>83</v>
      </c>
      <c r="H29" s="10" t="n">
        <v>13.109</v>
      </c>
      <c r="I29" s="9" t="str">
        <f aca="false">IF(OR(G29="links",G29="gegen UZS"),INDEX(Bezugspunkte!$C:$C,MATCH(F29,Bezugspunkte!$A:$A,0)),INDEX(Bezugspunkte!$E:$E,MATCH(F29,Bezugspunkte!$A:$A,0)))</f>
        <v>KI05</v>
      </c>
      <c r="J29" s="10" t="n">
        <f aca="false">IF(OR(G29="links",G29="gegen UZS"),INDEX(Bezugspunkte!$D:$D,MATCH(F29,Bezugspunkte!$A:$A,0)),INDEX(Bezugspunkte!$F:$F,MATCH(F29,Bezugspunkte!$A:$A,0)))</f>
        <v>17.008</v>
      </c>
      <c r="K29" s="10" t="n">
        <f aca="false">J29-H29</f>
        <v>3.899</v>
      </c>
      <c r="L29" s="10" t="n">
        <f aca="false">IF(AND(F29=F28,G29=G28),H29-H28,H29)</f>
        <v>1.798</v>
      </c>
      <c r="M29" s="10" t="n">
        <v>13.165</v>
      </c>
      <c r="N29" s="10" t="n">
        <v>21.986</v>
      </c>
    </row>
    <row r="30" customFormat="false" ht="15" hidden="false" customHeight="false" outlineLevel="0" collapsed="false">
      <c r="A30" s="9" t="n">
        <v>29</v>
      </c>
      <c r="B30" s="9" t="s">
        <v>108</v>
      </c>
      <c r="C30" s="9" t="s">
        <v>37</v>
      </c>
      <c r="D30" s="9" t="s">
        <v>78</v>
      </c>
      <c r="E30" s="9" t="s">
        <v>42</v>
      </c>
      <c r="F30" s="9" t="s">
        <v>90</v>
      </c>
      <c r="G30" s="9" t="s">
        <v>83</v>
      </c>
      <c r="H30" s="10" t="n">
        <v>14.11</v>
      </c>
      <c r="I30" s="9" t="str">
        <f aca="false">IF(OR(G30="links",G30="gegen UZS"),INDEX(Bezugspunkte!$C:$C,MATCH(F30,Bezugspunkte!$A:$A,0)),INDEX(Bezugspunkte!$E:$E,MATCH(F30,Bezugspunkte!$A:$A,0)))</f>
        <v>KI05</v>
      </c>
      <c r="J30" s="10" t="n">
        <f aca="false">IF(OR(G30="links",G30="gegen UZS"),INDEX(Bezugspunkte!$D:$D,MATCH(F30,Bezugspunkte!$A:$A,0)),INDEX(Bezugspunkte!$F:$F,MATCH(F30,Bezugspunkte!$A:$A,0)))</f>
        <v>17.008</v>
      </c>
      <c r="K30" s="10" t="n">
        <f aca="false">J30-H30</f>
        <v>2.898</v>
      </c>
      <c r="L30" s="10" t="n">
        <f aca="false">IF(AND(F30=F29,G30=G29),H30-H29,H30)</f>
        <v>1.001</v>
      </c>
      <c r="M30" s="10" t="n">
        <v>14.166</v>
      </c>
      <c r="N30" s="10" t="n">
        <v>21.986</v>
      </c>
    </row>
    <row r="31" customFormat="false" ht="15" hidden="false" customHeight="false" outlineLevel="0" collapsed="false">
      <c r="A31" s="9" t="n">
        <v>30</v>
      </c>
      <c r="B31" s="9" t="s">
        <v>109</v>
      </c>
      <c r="C31" s="9" t="s">
        <v>31</v>
      </c>
      <c r="D31" s="9" t="s">
        <v>89</v>
      </c>
      <c r="E31" s="9" t="s">
        <v>42</v>
      </c>
      <c r="F31" s="9" t="s">
        <v>90</v>
      </c>
      <c r="G31" s="9" t="s">
        <v>83</v>
      </c>
      <c r="H31" s="10" t="n">
        <v>16.007</v>
      </c>
      <c r="I31" s="9" t="str">
        <f aca="false">IF(OR(G31="links",G31="gegen UZS"),INDEX(Bezugspunkte!$C:$C,MATCH(F31,Bezugspunkte!$A:$A,0)),INDEX(Bezugspunkte!$E:$E,MATCH(F31,Bezugspunkte!$A:$A,0)))</f>
        <v>KI05</v>
      </c>
      <c r="J31" s="10" t="n">
        <f aca="false">IF(OR(G31="links",G31="gegen UZS"),INDEX(Bezugspunkte!$D:$D,MATCH(F31,Bezugspunkte!$A:$A,0)),INDEX(Bezugspunkte!$F:$F,MATCH(F31,Bezugspunkte!$A:$A,0)))</f>
        <v>17.008</v>
      </c>
      <c r="K31" s="10" t="n">
        <f aca="false">J31-H31</f>
        <v>1.001</v>
      </c>
      <c r="L31" s="10" t="n">
        <f aca="false">IF(AND(F31=F30,G31=G30),H31-H30,H31)</f>
        <v>1.897</v>
      </c>
      <c r="M31" s="10" t="n">
        <v>16.063</v>
      </c>
      <c r="N31" s="10" t="n">
        <v>21.986</v>
      </c>
    </row>
    <row r="32" customFormat="false" ht="15" hidden="false" customHeight="false" outlineLevel="0" collapsed="false">
      <c r="A32" s="9" t="n">
        <v>31</v>
      </c>
      <c r="B32" s="9" t="s">
        <v>110</v>
      </c>
      <c r="C32" s="9" t="s">
        <v>37</v>
      </c>
      <c r="D32" s="9" t="s">
        <v>78</v>
      </c>
      <c r="E32" s="9" t="s">
        <v>43</v>
      </c>
      <c r="F32" s="9" t="s">
        <v>111</v>
      </c>
      <c r="G32" s="9" t="s">
        <v>76</v>
      </c>
      <c r="H32" s="10" t="n">
        <v>0.373</v>
      </c>
      <c r="I32" s="9" t="str">
        <f aca="false">IF(OR(G32="links",G32="gegen UZS"),INDEX(Bezugspunkte!$C:$C,MATCH(F32,Bezugspunkte!$A:$A,0)),INDEX(Bezugspunkte!$E:$E,MATCH(F32,Bezugspunkte!$A:$A,0)))</f>
        <v>Q3-L</v>
      </c>
      <c r="J32" s="10" t="n">
        <f aca="false">IF(OR(G32="links",G32="gegen UZS"),INDEX(Bezugspunkte!$D:$D,MATCH(F32,Bezugspunkte!$A:$A,0)),INDEX(Bezugspunkte!$F:$F,MATCH(F32,Bezugspunkte!$A:$A,0)))</f>
        <v>17.042</v>
      </c>
      <c r="K32" s="10" t="n">
        <f aca="false">J32-H32</f>
        <v>16.669</v>
      </c>
      <c r="L32" s="10" t="n">
        <f aca="false">IF(AND(F32=F31,G32=G31),H32-H31,H32)</f>
        <v>0.373</v>
      </c>
      <c r="M32" s="10" t="n">
        <v>-0.373</v>
      </c>
      <c r="N32" s="10" t="n">
        <v>6.646</v>
      </c>
    </row>
    <row r="33" customFormat="false" ht="15" hidden="false" customHeight="false" outlineLevel="0" collapsed="false">
      <c r="A33" s="9" t="n">
        <v>32</v>
      </c>
      <c r="B33" s="9" t="s">
        <v>112</v>
      </c>
      <c r="C33" s="9" t="s">
        <v>37</v>
      </c>
      <c r="D33" s="9" t="s">
        <v>78</v>
      </c>
      <c r="E33" s="9" t="s">
        <v>43</v>
      </c>
      <c r="F33" s="9" t="s">
        <v>111</v>
      </c>
      <c r="G33" s="9" t="s">
        <v>76</v>
      </c>
      <c r="H33" s="10" t="n">
        <v>0.874</v>
      </c>
      <c r="I33" s="9" t="str">
        <f aca="false">IF(OR(G33="links",G33="gegen UZS"),INDEX(Bezugspunkte!$C:$C,MATCH(F33,Bezugspunkte!$A:$A,0)),INDEX(Bezugspunkte!$E:$E,MATCH(F33,Bezugspunkte!$A:$A,0)))</f>
        <v>Q3-L</v>
      </c>
      <c r="J33" s="10" t="n">
        <f aca="false">IF(OR(G33="links",G33="gegen UZS"),INDEX(Bezugspunkte!$D:$D,MATCH(F33,Bezugspunkte!$A:$A,0)),INDEX(Bezugspunkte!$F:$F,MATCH(F33,Bezugspunkte!$A:$A,0)))</f>
        <v>17.042</v>
      </c>
      <c r="K33" s="10" t="n">
        <f aca="false">J33-H33</f>
        <v>16.168</v>
      </c>
      <c r="L33" s="10" t="n">
        <f aca="false">IF(AND(F33=F32,G33=G32),H33-H32,H33)</f>
        <v>0.501</v>
      </c>
      <c r="M33" s="10" t="n">
        <v>-0.874</v>
      </c>
      <c r="N33" s="10" t="n">
        <v>6.646</v>
      </c>
    </row>
    <row r="34" customFormat="false" ht="15" hidden="false" customHeight="false" outlineLevel="0" collapsed="false">
      <c r="A34" s="9" t="n">
        <v>33</v>
      </c>
      <c r="B34" s="9" t="s">
        <v>113</v>
      </c>
      <c r="C34" s="9" t="s">
        <v>33</v>
      </c>
      <c r="D34" s="9" t="s">
        <v>114</v>
      </c>
      <c r="E34" s="9" t="s">
        <v>43</v>
      </c>
      <c r="F34" s="9" t="s">
        <v>111</v>
      </c>
      <c r="G34" s="9" t="s">
        <v>76</v>
      </c>
      <c r="H34" s="10" t="n">
        <v>1.727</v>
      </c>
      <c r="I34" s="9" t="str">
        <f aca="false">IF(OR(G34="links",G34="gegen UZS"),INDEX(Bezugspunkte!$C:$C,MATCH(F34,Bezugspunkte!$A:$A,0)),INDEX(Bezugspunkte!$E:$E,MATCH(F34,Bezugspunkte!$A:$A,0)))</f>
        <v>Q3-L</v>
      </c>
      <c r="J34" s="10" t="n">
        <f aca="false">IF(OR(G34="links",G34="gegen UZS"),INDEX(Bezugspunkte!$D:$D,MATCH(F34,Bezugspunkte!$A:$A,0)),INDEX(Bezugspunkte!$F:$F,MATCH(F34,Bezugspunkte!$A:$A,0)))</f>
        <v>17.042</v>
      </c>
      <c r="K34" s="10" t="n">
        <f aca="false">J34-H34</f>
        <v>15.315</v>
      </c>
      <c r="L34" s="10" t="n">
        <f aca="false">IF(AND(F34=F33,G34=G33),H34-H33,H34)</f>
        <v>0.853</v>
      </c>
      <c r="M34" s="10" t="n">
        <v>-1.727</v>
      </c>
      <c r="N34" s="10" t="n">
        <v>6.646</v>
      </c>
    </row>
    <row r="35" customFormat="false" ht="15" hidden="false" customHeight="false" outlineLevel="0" collapsed="false">
      <c r="A35" s="9" t="n">
        <v>34</v>
      </c>
      <c r="B35" s="9" t="s">
        <v>115</v>
      </c>
      <c r="C35" s="9" t="s">
        <v>33</v>
      </c>
      <c r="D35" s="9" t="s">
        <v>114</v>
      </c>
      <c r="E35" s="9" t="s">
        <v>43</v>
      </c>
      <c r="F35" s="9" t="s">
        <v>111</v>
      </c>
      <c r="G35" s="9" t="s">
        <v>76</v>
      </c>
      <c r="H35" s="10" t="n">
        <v>2.721</v>
      </c>
      <c r="I35" s="9" t="str">
        <f aca="false">IF(OR(G35="links",G35="gegen UZS"),INDEX(Bezugspunkte!$C:$C,MATCH(F35,Bezugspunkte!$A:$A,0)),INDEX(Bezugspunkte!$E:$E,MATCH(F35,Bezugspunkte!$A:$A,0)))</f>
        <v>Q3-L</v>
      </c>
      <c r="J35" s="10" t="n">
        <f aca="false">IF(OR(G35="links",G35="gegen UZS"),INDEX(Bezugspunkte!$D:$D,MATCH(F35,Bezugspunkte!$A:$A,0)),INDEX(Bezugspunkte!$F:$F,MATCH(F35,Bezugspunkte!$A:$A,0)))</f>
        <v>17.042</v>
      </c>
      <c r="K35" s="10" t="n">
        <f aca="false">J35-H35</f>
        <v>14.321</v>
      </c>
      <c r="L35" s="10" t="n">
        <f aca="false">IF(AND(F35=F34,G35=G34),H35-H34,H35)</f>
        <v>0.994</v>
      </c>
      <c r="M35" s="10" t="n">
        <v>-2.721</v>
      </c>
      <c r="N35" s="10" t="n">
        <v>6.646</v>
      </c>
    </row>
    <row r="36" customFormat="false" ht="15" hidden="false" customHeight="false" outlineLevel="0" collapsed="false">
      <c r="A36" s="9" t="n">
        <v>35</v>
      </c>
      <c r="B36" s="9" t="s">
        <v>116</v>
      </c>
      <c r="C36" s="9" t="s">
        <v>35</v>
      </c>
      <c r="D36" s="9" t="s">
        <v>74</v>
      </c>
      <c r="E36" s="9" t="s">
        <v>43</v>
      </c>
      <c r="F36" s="9" t="s">
        <v>111</v>
      </c>
      <c r="G36" s="9" t="s">
        <v>76</v>
      </c>
      <c r="H36" s="10" t="n">
        <v>3.525</v>
      </c>
      <c r="I36" s="9" t="str">
        <f aca="false">IF(OR(G36="links",G36="gegen UZS"),INDEX(Bezugspunkte!$C:$C,MATCH(F36,Bezugspunkte!$A:$A,0)),INDEX(Bezugspunkte!$E:$E,MATCH(F36,Bezugspunkte!$A:$A,0)))</f>
        <v>Q3-L</v>
      </c>
      <c r="J36" s="10" t="n">
        <f aca="false">IF(OR(G36="links",G36="gegen UZS"),INDEX(Bezugspunkte!$D:$D,MATCH(F36,Bezugspunkte!$A:$A,0)),INDEX(Bezugspunkte!$F:$F,MATCH(F36,Bezugspunkte!$A:$A,0)))</f>
        <v>17.042</v>
      </c>
      <c r="K36" s="10" t="n">
        <f aca="false">J36-H36</f>
        <v>13.517</v>
      </c>
      <c r="L36" s="10" t="n">
        <f aca="false">IF(AND(F36=F35,G36=G35),H36-H35,H36)</f>
        <v>0.804</v>
      </c>
      <c r="M36" s="10" t="n">
        <v>-3.525</v>
      </c>
      <c r="N36" s="10" t="n">
        <v>6.646</v>
      </c>
    </row>
    <row r="37" customFormat="false" ht="15" hidden="false" customHeight="false" outlineLevel="0" collapsed="false">
      <c r="A37" s="9" t="n">
        <v>36</v>
      </c>
      <c r="B37" s="9" t="s">
        <v>117</v>
      </c>
      <c r="C37" s="9" t="s">
        <v>35</v>
      </c>
      <c r="D37" s="9" t="s">
        <v>74</v>
      </c>
      <c r="E37" s="9" t="s">
        <v>43</v>
      </c>
      <c r="F37" s="9" t="s">
        <v>111</v>
      </c>
      <c r="G37" s="9" t="s">
        <v>76</v>
      </c>
      <c r="H37" s="10" t="n">
        <v>4.322</v>
      </c>
      <c r="I37" s="9" t="str">
        <f aca="false">IF(OR(G37="links",G37="gegen UZS"),INDEX(Bezugspunkte!$C:$C,MATCH(F37,Bezugspunkte!$A:$A,0)),INDEX(Bezugspunkte!$E:$E,MATCH(F37,Bezugspunkte!$A:$A,0)))</f>
        <v>Q3-L</v>
      </c>
      <c r="J37" s="10" t="n">
        <f aca="false">IF(OR(G37="links",G37="gegen UZS"),INDEX(Bezugspunkte!$D:$D,MATCH(F37,Bezugspunkte!$A:$A,0)),INDEX(Bezugspunkte!$F:$F,MATCH(F37,Bezugspunkte!$A:$A,0)))</f>
        <v>17.042</v>
      </c>
      <c r="K37" s="10" t="n">
        <f aca="false">J37-H37</f>
        <v>12.72</v>
      </c>
      <c r="L37" s="10" t="n">
        <f aca="false">IF(AND(F37=F36,G37=G36),H37-H36,H37)</f>
        <v>0.797</v>
      </c>
      <c r="M37" s="10" t="n">
        <v>-4.322</v>
      </c>
      <c r="N37" s="10" t="n">
        <v>6.646</v>
      </c>
    </row>
    <row r="38" customFormat="false" ht="15" hidden="false" customHeight="false" outlineLevel="0" collapsed="false">
      <c r="A38" s="9" t="n">
        <v>37</v>
      </c>
      <c r="B38" s="9" t="s">
        <v>118</v>
      </c>
      <c r="C38" s="9" t="s">
        <v>33</v>
      </c>
      <c r="D38" s="9" t="s">
        <v>114</v>
      </c>
      <c r="E38" s="9" t="s">
        <v>43</v>
      </c>
      <c r="F38" s="9" t="s">
        <v>111</v>
      </c>
      <c r="G38" s="9" t="s">
        <v>76</v>
      </c>
      <c r="H38" s="10" t="n">
        <v>5.224</v>
      </c>
      <c r="I38" s="9" t="str">
        <f aca="false">IF(OR(G38="links",G38="gegen UZS"),INDEX(Bezugspunkte!$C:$C,MATCH(F38,Bezugspunkte!$A:$A,0)),INDEX(Bezugspunkte!$E:$E,MATCH(F38,Bezugspunkte!$A:$A,0)))</f>
        <v>Q3-L</v>
      </c>
      <c r="J38" s="10" t="n">
        <f aca="false">IF(OR(G38="links",G38="gegen UZS"),INDEX(Bezugspunkte!$D:$D,MATCH(F38,Bezugspunkte!$A:$A,0)),INDEX(Bezugspunkte!$F:$F,MATCH(F38,Bezugspunkte!$A:$A,0)))</f>
        <v>17.042</v>
      </c>
      <c r="K38" s="10" t="n">
        <f aca="false">J38-H38</f>
        <v>11.818</v>
      </c>
      <c r="L38" s="10" t="n">
        <f aca="false">IF(AND(F38=F37,G38=G37),H38-H37,H38)</f>
        <v>0.902</v>
      </c>
      <c r="M38" s="10" t="n">
        <v>-5.224</v>
      </c>
      <c r="N38" s="10" t="n">
        <v>6.646</v>
      </c>
    </row>
    <row r="39" customFormat="false" ht="15" hidden="false" customHeight="false" outlineLevel="0" collapsed="false">
      <c r="A39" s="9" t="n">
        <v>38</v>
      </c>
      <c r="B39" s="9" t="s">
        <v>119</v>
      </c>
      <c r="C39" s="9" t="s">
        <v>33</v>
      </c>
      <c r="D39" s="9" t="s">
        <v>114</v>
      </c>
      <c r="E39" s="9" t="s">
        <v>43</v>
      </c>
      <c r="F39" s="9" t="s">
        <v>111</v>
      </c>
      <c r="G39" s="9" t="s">
        <v>76</v>
      </c>
      <c r="H39" s="10" t="n">
        <v>6.226</v>
      </c>
      <c r="I39" s="9" t="str">
        <f aca="false">IF(OR(G39="links",G39="gegen UZS"),INDEX(Bezugspunkte!$C:$C,MATCH(F39,Bezugspunkte!$A:$A,0)),INDEX(Bezugspunkte!$E:$E,MATCH(F39,Bezugspunkte!$A:$A,0)))</f>
        <v>Q3-L</v>
      </c>
      <c r="J39" s="10" t="n">
        <f aca="false">IF(OR(G39="links",G39="gegen UZS"),INDEX(Bezugspunkte!$D:$D,MATCH(F39,Bezugspunkte!$A:$A,0)),INDEX(Bezugspunkte!$F:$F,MATCH(F39,Bezugspunkte!$A:$A,0)))</f>
        <v>17.042</v>
      </c>
      <c r="K39" s="10" t="n">
        <f aca="false">J39-H39</f>
        <v>10.816</v>
      </c>
      <c r="L39" s="10" t="n">
        <f aca="false">IF(AND(F39=F38,G39=G38),H39-H38,H39)</f>
        <v>1.002</v>
      </c>
      <c r="M39" s="10" t="n">
        <v>-6.226</v>
      </c>
      <c r="N39" s="10" t="n">
        <v>6.646</v>
      </c>
    </row>
    <row r="40" customFormat="false" ht="15" hidden="false" customHeight="false" outlineLevel="0" collapsed="false">
      <c r="A40" s="9" t="n">
        <v>39</v>
      </c>
      <c r="B40" s="9" t="s">
        <v>120</v>
      </c>
      <c r="C40" s="9" t="s">
        <v>37</v>
      </c>
      <c r="D40" s="9" t="s">
        <v>78</v>
      </c>
      <c r="E40" s="9" t="s">
        <v>43</v>
      </c>
      <c r="F40" s="9" t="s">
        <v>111</v>
      </c>
      <c r="G40" s="9" t="s">
        <v>76</v>
      </c>
      <c r="H40" s="10" t="n">
        <v>7.523</v>
      </c>
      <c r="I40" s="9" t="str">
        <f aca="false">IF(OR(G40="links",G40="gegen UZS"),INDEX(Bezugspunkte!$C:$C,MATCH(F40,Bezugspunkte!$A:$A,0)),INDEX(Bezugspunkte!$E:$E,MATCH(F40,Bezugspunkte!$A:$A,0)))</f>
        <v>Q3-L</v>
      </c>
      <c r="J40" s="10" t="n">
        <f aca="false">IF(OR(G40="links",G40="gegen UZS"),INDEX(Bezugspunkte!$D:$D,MATCH(F40,Bezugspunkte!$A:$A,0)),INDEX(Bezugspunkte!$F:$F,MATCH(F40,Bezugspunkte!$A:$A,0)))</f>
        <v>17.042</v>
      </c>
      <c r="K40" s="10" t="n">
        <f aca="false">J40-H40</f>
        <v>9.519</v>
      </c>
      <c r="L40" s="10" t="n">
        <f aca="false">IF(AND(F40=F39,G40=G39),H40-H39,H40)</f>
        <v>1.297</v>
      </c>
      <c r="M40" s="10" t="n">
        <v>-7.523</v>
      </c>
      <c r="N40" s="10" t="n">
        <v>6.646</v>
      </c>
    </row>
    <row r="41" customFormat="false" ht="15" hidden="false" customHeight="false" outlineLevel="0" collapsed="false">
      <c r="A41" s="9" t="n">
        <v>40</v>
      </c>
      <c r="B41" s="9" t="s">
        <v>121</v>
      </c>
      <c r="C41" s="9" t="s">
        <v>37</v>
      </c>
      <c r="D41" s="9" t="s">
        <v>78</v>
      </c>
      <c r="E41" s="9" t="s">
        <v>43</v>
      </c>
      <c r="F41" s="9" t="s">
        <v>111</v>
      </c>
      <c r="G41" s="9" t="s">
        <v>76</v>
      </c>
      <c r="H41" s="10" t="n">
        <v>8.517</v>
      </c>
      <c r="I41" s="9" t="str">
        <f aca="false">IF(OR(G41="links",G41="gegen UZS"),INDEX(Bezugspunkte!$C:$C,MATCH(F41,Bezugspunkte!$A:$A,0)),INDEX(Bezugspunkte!$E:$E,MATCH(F41,Bezugspunkte!$A:$A,0)))</f>
        <v>Q3-L</v>
      </c>
      <c r="J41" s="10" t="n">
        <f aca="false">IF(OR(G41="links",G41="gegen UZS"),INDEX(Bezugspunkte!$D:$D,MATCH(F41,Bezugspunkte!$A:$A,0)),INDEX(Bezugspunkte!$F:$F,MATCH(F41,Bezugspunkte!$A:$A,0)))</f>
        <v>17.042</v>
      </c>
      <c r="K41" s="10" t="n">
        <f aca="false">J41-H41</f>
        <v>8.525</v>
      </c>
      <c r="L41" s="10" t="n">
        <f aca="false">IF(AND(F41=F40,G41=G40),H41-H40,H41)</f>
        <v>0.994</v>
      </c>
      <c r="M41" s="10" t="n">
        <v>-8.517</v>
      </c>
      <c r="N41" s="10" t="n">
        <v>6.646</v>
      </c>
    </row>
    <row r="42" customFormat="false" ht="15" hidden="false" customHeight="false" outlineLevel="0" collapsed="false">
      <c r="A42" s="9" t="n">
        <v>41</v>
      </c>
      <c r="B42" s="9" t="s">
        <v>122</v>
      </c>
      <c r="C42" s="9" t="s">
        <v>37</v>
      </c>
      <c r="D42" s="9" t="s">
        <v>78</v>
      </c>
      <c r="E42" s="9" t="s">
        <v>43</v>
      </c>
      <c r="F42" s="9" t="s">
        <v>111</v>
      </c>
      <c r="G42" s="9" t="s">
        <v>76</v>
      </c>
      <c r="H42" s="10" t="n">
        <v>13.418</v>
      </c>
      <c r="I42" s="9" t="str">
        <f aca="false">IF(OR(G42="links",G42="gegen UZS"),INDEX(Bezugspunkte!$C:$C,MATCH(F42,Bezugspunkte!$A:$A,0)),INDEX(Bezugspunkte!$E:$E,MATCH(F42,Bezugspunkte!$A:$A,0)))</f>
        <v>Q3-L</v>
      </c>
      <c r="J42" s="10" t="n">
        <f aca="false">IF(OR(G42="links",G42="gegen UZS"),INDEX(Bezugspunkte!$D:$D,MATCH(F42,Bezugspunkte!$A:$A,0)),INDEX(Bezugspunkte!$F:$F,MATCH(F42,Bezugspunkte!$A:$A,0)))</f>
        <v>17.042</v>
      </c>
      <c r="K42" s="10" t="n">
        <f aca="false">J42-H42</f>
        <v>3.624</v>
      </c>
      <c r="L42" s="10" t="n">
        <f aca="false">IF(AND(F42=F41,G42=G41),H42-H41,H42)</f>
        <v>4.901</v>
      </c>
      <c r="M42" s="10" t="n">
        <v>-13.418</v>
      </c>
      <c r="N42" s="10" t="n">
        <v>6.646</v>
      </c>
    </row>
    <row r="43" customFormat="false" ht="15" hidden="false" customHeight="false" outlineLevel="0" collapsed="false">
      <c r="A43" s="9" t="n">
        <v>42</v>
      </c>
      <c r="B43" s="9" t="s">
        <v>123</v>
      </c>
      <c r="C43" s="9" t="s">
        <v>37</v>
      </c>
      <c r="D43" s="9" t="s">
        <v>78</v>
      </c>
      <c r="E43" s="9" t="s">
        <v>43</v>
      </c>
      <c r="F43" s="9" t="s">
        <v>111</v>
      </c>
      <c r="G43" s="9" t="s">
        <v>76</v>
      </c>
      <c r="H43" s="10" t="n">
        <v>14.419</v>
      </c>
      <c r="I43" s="9" t="str">
        <f aca="false">IF(OR(G43="links",G43="gegen UZS"),INDEX(Bezugspunkte!$C:$C,MATCH(F43,Bezugspunkte!$A:$A,0)),INDEX(Bezugspunkte!$E:$E,MATCH(F43,Bezugspunkte!$A:$A,0)))</f>
        <v>Q3-L</v>
      </c>
      <c r="J43" s="10" t="n">
        <f aca="false">IF(OR(G43="links",G43="gegen UZS"),INDEX(Bezugspunkte!$D:$D,MATCH(F43,Bezugspunkte!$A:$A,0)),INDEX(Bezugspunkte!$F:$F,MATCH(F43,Bezugspunkte!$A:$A,0)))</f>
        <v>17.042</v>
      </c>
      <c r="K43" s="10" t="n">
        <f aca="false">J43-H43</f>
        <v>2.623</v>
      </c>
      <c r="L43" s="10" t="n">
        <f aca="false">IF(AND(F43=F42,G43=G42),H43-H42,H43)</f>
        <v>1.001</v>
      </c>
      <c r="M43" s="10" t="n">
        <v>-14.419</v>
      </c>
      <c r="N43" s="10" t="n">
        <v>6.646</v>
      </c>
    </row>
    <row r="44" customFormat="false" ht="15" hidden="false" customHeight="false" outlineLevel="0" collapsed="false">
      <c r="A44" s="9" t="n">
        <v>43</v>
      </c>
      <c r="B44" s="9" t="s">
        <v>124</v>
      </c>
      <c r="C44" s="9" t="s">
        <v>31</v>
      </c>
      <c r="D44" s="9" t="s">
        <v>89</v>
      </c>
      <c r="E44" s="9" t="s">
        <v>43</v>
      </c>
      <c r="F44" s="9" t="s">
        <v>111</v>
      </c>
      <c r="G44" s="9" t="s">
        <v>76</v>
      </c>
      <c r="H44" s="10" t="n">
        <v>16.816</v>
      </c>
      <c r="I44" s="9" t="str">
        <f aca="false">IF(OR(G44="links",G44="gegen UZS"),INDEX(Bezugspunkte!$C:$C,MATCH(F44,Bezugspunkte!$A:$A,0)),INDEX(Bezugspunkte!$E:$E,MATCH(F44,Bezugspunkte!$A:$A,0)))</f>
        <v>Q3-L</v>
      </c>
      <c r="J44" s="10" t="n">
        <f aca="false">IF(OR(G44="links",G44="gegen UZS"),INDEX(Bezugspunkte!$D:$D,MATCH(F44,Bezugspunkte!$A:$A,0)),INDEX(Bezugspunkte!$F:$F,MATCH(F44,Bezugspunkte!$A:$A,0)))</f>
        <v>17.042</v>
      </c>
      <c r="K44" s="10" t="n">
        <f aca="false">J44-H44</f>
        <v>0.226000000000003</v>
      </c>
      <c r="L44" s="10" t="n">
        <f aca="false">IF(AND(F44=F43,G44=G43),H44-H43,H44)</f>
        <v>2.397</v>
      </c>
      <c r="M44" s="10" t="n">
        <v>-16.816</v>
      </c>
      <c r="N44" s="10" t="n">
        <v>6.646</v>
      </c>
    </row>
    <row r="45" customFormat="false" ht="15" hidden="false" customHeight="false" outlineLevel="0" collapsed="false">
      <c r="A45" s="9" t="n">
        <v>44</v>
      </c>
      <c r="B45" s="9" t="s">
        <v>125</v>
      </c>
      <c r="C45" s="9" t="s">
        <v>37</v>
      </c>
      <c r="D45" s="9" t="s">
        <v>78</v>
      </c>
      <c r="E45" s="9" t="s">
        <v>43</v>
      </c>
      <c r="F45" s="9" t="s">
        <v>111</v>
      </c>
      <c r="G45" s="9" t="s">
        <v>83</v>
      </c>
      <c r="H45" s="10" t="n">
        <v>0.424</v>
      </c>
      <c r="I45" s="9" t="str">
        <f aca="false">IF(OR(G45="links",G45="gegen UZS"),INDEX(Bezugspunkte!$C:$C,MATCH(F45,Bezugspunkte!$A:$A,0)),INDEX(Bezugspunkte!$E:$E,MATCH(F45,Bezugspunkte!$A:$A,0)))</f>
        <v>Q3-R</v>
      </c>
      <c r="J45" s="10" t="n">
        <f aca="false">IF(OR(G45="links",G45="gegen UZS"),INDEX(Bezugspunkte!$D:$D,MATCH(F45,Bezugspunkte!$A:$A,0)),INDEX(Bezugspunkte!$F:$F,MATCH(F45,Bezugspunkte!$A:$A,0)))</f>
        <v>17.04</v>
      </c>
      <c r="K45" s="10" t="n">
        <f aca="false">J45-H45</f>
        <v>16.616</v>
      </c>
      <c r="L45" s="10" t="n">
        <f aca="false">IF(AND(F45=F44,G45=G44),H45-H44,H45)</f>
        <v>0.424</v>
      </c>
      <c r="M45" s="10" t="n">
        <v>0.424</v>
      </c>
      <c r="N45" s="10" t="n">
        <v>6.646</v>
      </c>
    </row>
    <row r="46" customFormat="false" ht="15" hidden="false" customHeight="false" outlineLevel="0" collapsed="false">
      <c r="A46" s="9" t="n">
        <v>45</v>
      </c>
      <c r="B46" s="9" t="s">
        <v>126</v>
      </c>
      <c r="C46" s="9" t="s">
        <v>37</v>
      </c>
      <c r="D46" s="9" t="s">
        <v>78</v>
      </c>
      <c r="E46" s="9" t="s">
        <v>43</v>
      </c>
      <c r="F46" s="9" t="s">
        <v>111</v>
      </c>
      <c r="G46" s="9" t="s">
        <v>83</v>
      </c>
      <c r="H46" s="10" t="n">
        <v>0.924</v>
      </c>
      <c r="I46" s="9" t="str">
        <f aca="false">IF(OR(G46="links",G46="gegen UZS"),INDEX(Bezugspunkte!$C:$C,MATCH(F46,Bezugspunkte!$A:$A,0)),INDEX(Bezugspunkte!$E:$E,MATCH(F46,Bezugspunkte!$A:$A,0)))</f>
        <v>Q3-R</v>
      </c>
      <c r="J46" s="10" t="n">
        <f aca="false">IF(OR(G46="links",G46="gegen UZS"),INDEX(Bezugspunkte!$D:$D,MATCH(F46,Bezugspunkte!$A:$A,0)),INDEX(Bezugspunkte!$F:$F,MATCH(F46,Bezugspunkte!$A:$A,0)))</f>
        <v>17.04</v>
      </c>
      <c r="K46" s="10" t="n">
        <f aca="false">J46-H46</f>
        <v>16.116</v>
      </c>
      <c r="L46" s="10" t="n">
        <f aca="false">IF(AND(F46=F45,G46=G45),H46-H45,H46)</f>
        <v>0.5</v>
      </c>
      <c r="M46" s="10" t="n">
        <v>0.924</v>
      </c>
      <c r="N46" s="10" t="n">
        <v>6.646</v>
      </c>
    </row>
    <row r="47" customFormat="false" ht="15" hidden="false" customHeight="false" outlineLevel="0" collapsed="false">
      <c r="A47" s="9" t="n">
        <v>46</v>
      </c>
      <c r="B47" s="9" t="s">
        <v>127</v>
      </c>
      <c r="C47" s="9" t="s">
        <v>33</v>
      </c>
      <c r="D47" s="9" t="s">
        <v>114</v>
      </c>
      <c r="E47" s="9" t="s">
        <v>43</v>
      </c>
      <c r="F47" s="9" t="s">
        <v>111</v>
      </c>
      <c r="G47" s="9" t="s">
        <v>83</v>
      </c>
      <c r="H47" s="10" t="n">
        <v>1.777</v>
      </c>
      <c r="I47" s="9" t="str">
        <f aca="false">IF(OR(G47="links",G47="gegen UZS"),INDEX(Bezugspunkte!$C:$C,MATCH(F47,Bezugspunkte!$A:$A,0)),INDEX(Bezugspunkte!$E:$E,MATCH(F47,Bezugspunkte!$A:$A,0)))</f>
        <v>Q3-R</v>
      </c>
      <c r="J47" s="10" t="n">
        <f aca="false">IF(OR(G47="links",G47="gegen UZS"),INDEX(Bezugspunkte!$D:$D,MATCH(F47,Bezugspunkte!$A:$A,0)),INDEX(Bezugspunkte!$F:$F,MATCH(F47,Bezugspunkte!$A:$A,0)))</f>
        <v>17.04</v>
      </c>
      <c r="K47" s="10" t="n">
        <f aca="false">J47-H47</f>
        <v>15.263</v>
      </c>
      <c r="L47" s="10" t="n">
        <f aca="false">IF(AND(F47=F46,G47=G46),H47-H46,H47)</f>
        <v>0.853</v>
      </c>
      <c r="M47" s="10" t="n">
        <v>1.777</v>
      </c>
      <c r="N47" s="10" t="n">
        <v>6.646</v>
      </c>
    </row>
    <row r="48" customFormat="false" ht="15" hidden="false" customHeight="false" outlineLevel="0" collapsed="false">
      <c r="A48" s="9" t="n">
        <v>47</v>
      </c>
      <c r="B48" s="9" t="s">
        <v>128</v>
      </c>
      <c r="C48" s="9" t="s">
        <v>33</v>
      </c>
      <c r="D48" s="9" t="s">
        <v>114</v>
      </c>
      <c r="E48" s="9" t="s">
        <v>43</v>
      </c>
      <c r="F48" s="9" t="s">
        <v>111</v>
      </c>
      <c r="G48" s="9" t="s">
        <v>83</v>
      </c>
      <c r="H48" s="10" t="n">
        <v>2.772</v>
      </c>
      <c r="I48" s="9" t="str">
        <f aca="false">IF(OR(G48="links",G48="gegen UZS"),INDEX(Bezugspunkte!$C:$C,MATCH(F48,Bezugspunkte!$A:$A,0)),INDEX(Bezugspunkte!$E:$E,MATCH(F48,Bezugspunkte!$A:$A,0)))</f>
        <v>Q3-R</v>
      </c>
      <c r="J48" s="10" t="n">
        <f aca="false">IF(OR(G48="links",G48="gegen UZS"),INDEX(Bezugspunkte!$D:$D,MATCH(F48,Bezugspunkte!$A:$A,0)),INDEX(Bezugspunkte!$F:$F,MATCH(F48,Bezugspunkte!$A:$A,0)))</f>
        <v>17.04</v>
      </c>
      <c r="K48" s="10" t="n">
        <f aca="false">J48-H48</f>
        <v>14.268</v>
      </c>
      <c r="L48" s="10" t="n">
        <f aca="false">IF(AND(F48=F47,G48=G47),H48-H47,H48)</f>
        <v>0.995</v>
      </c>
      <c r="M48" s="10" t="n">
        <v>2.772</v>
      </c>
      <c r="N48" s="10" t="n">
        <v>6.646</v>
      </c>
    </row>
    <row r="49" customFormat="false" ht="15" hidden="false" customHeight="false" outlineLevel="0" collapsed="false">
      <c r="A49" s="9" t="n">
        <v>48</v>
      </c>
      <c r="B49" s="9" t="s">
        <v>129</v>
      </c>
      <c r="C49" s="9" t="s">
        <v>35</v>
      </c>
      <c r="D49" s="9" t="s">
        <v>74</v>
      </c>
      <c r="E49" s="9" t="s">
        <v>43</v>
      </c>
      <c r="F49" s="9" t="s">
        <v>111</v>
      </c>
      <c r="G49" s="9" t="s">
        <v>83</v>
      </c>
      <c r="H49" s="10" t="n">
        <v>3.576</v>
      </c>
      <c r="I49" s="9" t="str">
        <f aca="false">IF(OR(G49="links",G49="gegen UZS"),INDEX(Bezugspunkte!$C:$C,MATCH(F49,Bezugspunkte!$A:$A,0)),INDEX(Bezugspunkte!$E:$E,MATCH(F49,Bezugspunkte!$A:$A,0)))</f>
        <v>Q3-R</v>
      </c>
      <c r="J49" s="10" t="n">
        <f aca="false">IF(OR(G49="links",G49="gegen UZS"),INDEX(Bezugspunkte!$D:$D,MATCH(F49,Bezugspunkte!$A:$A,0)),INDEX(Bezugspunkte!$F:$F,MATCH(F49,Bezugspunkte!$A:$A,0)))</f>
        <v>17.04</v>
      </c>
      <c r="K49" s="10" t="n">
        <f aca="false">J49-H49</f>
        <v>13.464</v>
      </c>
      <c r="L49" s="10" t="n">
        <f aca="false">IF(AND(F49=F48,G49=G48),H49-H48,H49)</f>
        <v>0.804</v>
      </c>
      <c r="M49" s="10" t="n">
        <v>3.576</v>
      </c>
      <c r="N49" s="10" t="n">
        <v>6.646</v>
      </c>
    </row>
    <row r="50" customFormat="false" ht="15" hidden="false" customHeight="false" outlineLevel="0" collapsed="false">
      <c r="A50" s="9" t="n">
        <v>49</v>
      </c>
      <c r="B50" s="9" t="s">
        <v>130</v>
      </c>
      <c r="C50" s="9" t="s">
        <v>35</v>
      </c>
      <c r="D50" s="9" t="s">
        <v>74</v>
      </c>
      <c r="E50" s="9" t="s">
        <v>43</v>
      </c>
      <c r="F50" s="9" t="s">
        <v>111</v>
      </c>
      <c r="G50" s="9" t="s">
        <v>83</v>
      </c>
      <c r="H50" s="10" t="n">
        <v>4.372</v>
      </c>
      <c r="I50" s="9" t="str">
        <f aca="false">IF(OR(G50="links",G50="gegen UZS"),INDEX(Bezugspunkte!$C:$C,MATCH(F50,Bezugspunkte!$A:$A,0)),INDEX(Bezugspunkte!$E:$E,MATCH(F50,Bezugspunkte!$A:$A,0)))</f>
        <v>Q3-R</v>
      </c>
      <c r="J50" s="10" t="n">
        <f aca="false">IF(OR(G50="links",G50="gegen UZS"),INDEX(Bezugspunkte!$D:$D,MATCH(F50,Bezugspunkte!$A:$A,0)),INDEX(Bezugspunkte!$F:$F,MATCH(F50,Bezugspunkte!$A:$A,0)))</f>
        <v>17.04</v>
      </c>
      <c r="K50" s="10" t="n">
        <f aca="false">J50-H50</f>
        <v>12.668</v>
      </c>
      <c r="L50" s="10" t="n">
        <f aca="false">IF(AND(F50=F49,G50=G49),H50-H49,H50)</f>
        <v>0.796</v>
      </c>
      <c r="M50" s="10" t="n">
        <v>4.372</v>
      </c>
      <c r="N50" s="10" t="n">
        <v>6.646</v>
      </c>
    </row>
    <row r="51" customFormat="false" ht="15" hidden="false" customHeight="false" outlineLevel="0" collapsed="false">
      <c r="A51" s="9" t="n">
        <v>50</v>
      </c>
      <c r="B51" s="9" t="s">
        <v>131</v>
      </c>
      <c r="C51" s="9" t="s">
        <v>33</v>
      </c>
      <c r="D51" s="9" t="s">
        <v>114</v>
      </c>
      <c r="E51" s="9" t="s">
        <v>43</v>
      </c>
      <c r="F51" s="9" t="s">
        <v>111</v>
      </c>
      <c r="G51" s="9" t="s">
        <v>83</v>
      </c>
      <c r="H51" s="10" t="n">
        <v>5.275</v>
      </c>
      <c r="I51" s="9" t="str">
        <f aca="false">IF(OR(G51="links",G51="gegen UZS"),INDEX(Bezugspunkte!$C:$C,MATCH(F51,Bezugspunkte!$A:$A,0)),INDEX(Bezugspunkte!$E:$E,MATCH(F51,Bezugspunkte!$A:$A,0)))</f>
        <v>Q3-R</v>
      </c>
      <c r="J51" s="10" t="n">
        <f aca="false">IF(OR(G51="links",G51="gegen UZS"),INDEX(Bezugspunkte!$D:$D,MATCH(F51,Bezugspunkte!$A:$A,0)),INDEX(Bezugspunkte!$F:$F,MATCH(F51,Bezugspunkte!$A:$A,0)))</f>
        <v>17.04</v>
      </c>
      <c r="K51" s="10" t="n">
        <f aca="false">J51-H51</f>
        <v>11.765</v>
      </c>
      <c r="L51" s="10" t="n">
        <f aca="false">IF(AND(F51=F50,G51=G50),H51-H50,H51)</f>
        <v>0.903000000000001</v>
      </c>
      <c r="M51" s="10" t="n">
        <v>5.275</v>
      </c>
      <c r="N51" s="10" t="n">
        <v>6.646</v>
      </c>
    </row>
    <row r="52" customFormat="false" ht="15" hidden="false" customHeight="false" outlineLevel="0" collapsed="false">
      <c r="A52" s="9" t="n">
        <v>51</v>
      </c>
      <c r="B52" s="9" t="s">
        <v>132</v>
      </c>
      <c r="C52" s="9" t="s">
        <v>33</v>
      </c>
      <c r="D52" s="9" t="s">
        <v>114</v>
      </c>
      <c r="E52" s="9" t="s">
        <v>43</v>
      </c>
      <c r="F52" s="9" t="s">
        <v>111</v>
      </c>
      <c r="G52" s="9" t="s">
        <v>83</v>
      </c>
      <c r="H52" s="10" t="n">
        <v>6.269</v>
      </c>
      <c r="I52" s="9" t="str">
        <f aca="false">IF(OR(G52="links",G52="gegen UZS"),INDEX(Bezugspunkte!$C:$C,MATCH(F52,Bezugspunkte!$A:$A,0)),INDEX(Bezugspunkte!$E:$E,MATCH(F52,Bezugspunkte!$A:$A,0)))</f>
        <v>Q3-R</v>
      </c>
      <c r="J52" s="10" t="n">
        <f aca="false">IF(OR(G52="links",G52="gegen UZS"),INDEX(Bezugspunkte!$D:$D,MATCH(F52,Bezugspunkte!$A:$A,0)),INDEX(Bezugspunkte!$F:$F,MATCH(F52,Bezugspunkte!$A:$A,0)))</f>
        <v>17.04</v>
      </c>
      <c r="K52" s="10" t="n">
        <f aca="false">J52-H52</f>
        <v>10.771</v>
      </c>
      <c r="L52" s="10" t="n">
        <f aca="false">IF(AND(F52=F51,G52=G51),H52-H51,H52)</f>
        <v>0.994</v>
      </c>
      <c r="M52" s="10" t="n">
        <v>6.269</v>
      </c>
      <c r="N52" s="10" t="n">
        <v>6.646</v>
      </c>
    </row>
    <row r="53" customFormat="false" ht="15" hidden="false" customHeight="false" outlineLevel="0" collapsed="false">
      <c r="A53" s="9" t="n">
        <v>52</v>
      </c>
      <c r="B53" s="9" t="s">
        <v>133</v>
      </c>
      <c r="C53" s="9" t="s">
        <v>37</v>
      </c>
      <c r="D53" s="9" t="s">
        <v>78</v>
      </c>
      <c r="E53" s="9" t="s">
        <v>43</v>
      </c>
      <c r="F53" s="9" t="s">
        <v>111</v>
      </c>
      <c r="G53" s="9" t="s">
        <v>83</v>
      </c>
      <c r="H53" s="10" t="n">
        <v>7.566</v>
      </c>
      <c r="I53" s="9" t="str">
        <f aca="false">IF(OR(G53="links",G53="gegen UZS"),INDEX(Bezugspunkte!$C:$C,MATCH(F53,Bezugspunkte!$A:$A,0)),INDEX(Bezugspunkte!$E:$E,MATCH(F53,Bezugspunkte!$A:$A,0)))</f>
        <v>Q3-R</v>
      </c>
      <c r="J53" s="10" t="n">
        <f aca="false">IF(OR(G53="links",G53="gegen UZS"),INDEX(Bezugspunkte!$D:$D,MATCH(F53,Bezugspunkte!$A:$A,0)),INDEX(Bezugspunkte!$F:$F,MATCH(F53,Bezugspunkte!$A:$A,0)))</f>
        <v>17.04</v>
      </c>
      <c r="K53" s="10" t="n">
        <f aca="false">J53-H53</f>
        <v>9.474</v>
      </c>
      <c r="L53" s="10" t="n">
        <f aca="false">IF(AND(F53=F52,G53=G52),H53-H52,H53)</f>
        <v>1.297</v>
      </c>
      <c r="M53" s="10" t="n">
        <v>7.566</v>
      </c>
      <c r="N53" s="10" t="n">
        <v>6.646</v>
      </c>
    </row>
    <row r="54" customFormat="false" ht="15" hidden="false" customHeight="false" outlineLevel="0" collapsed="false">
      <c r="A54" s="9" t="n">
        <v>53</v>
      </c>
      <c r="B54" s="9" t="s">
        <v>134</v>
      </c>
      <c r="C54" s="9" t="s">
        <v>37</v>
      </c>
      <c r="D54" s="9" t="s">
        <v>78</v>
      </c>
      <c r="E54" s="9" t="s">
        <v>43</v>
      </c>
      <c r="F54" s="9" t="s">
        <v>111</v>
      </c>
      <c r="G54" s="9" t="s">
        <v>83</v>
      </c>
      <c r="H54" s="10" t="n">
        <v>8.568</v>
      </c>
      <c r="I54" s="9" t="str">
        <f aca="false">IF(OR(G54="links",G54="gegen UZS"),INDEX(Bezugspunkte!$C:$C,MATCH(F54,Bezugspunkte!$A:$A,0)),INDEX(Bezugspunkte!$E:$E,MATCH(F54,Bezugspunkte!$A:$A,0)))</f>
        <v>Q3-R</v>
      </c>
      <c r="J54" s="10" t="n">
        <f aca="false">IF(OR(G54="links",G54="gegen UZS"),INDEX(Bezugspunkte!$D:$D,MATCH(F54,Bezugspunkte!$A:$A,0)),INDEX(Bezugspunkte!$F:$F,MATCH(F54,Bezugspunkte!$A:$A,0)))</f>
        <v>17.04</v>
      </c>
      <c r="K54" s="10" t="n">
        <f aca="false">J54-H54</f>
        <v>8.472</v>
      </c>
      <c r="L54" s="10" t="n">
        <f aca="false">IF(AND(F54=F53,G54=G53),H54-H53,H54)</f>
        <v>1.002</v>
      </c>
      <c r="M54" s="10" t="n">
        <v>8.568</v>
      </c>
      <c r="N54" s="10" t="n">
        <v>6.646</v>
      </c>
    </row>
    <row r="55" customFormat="false" ht="15" hidden="false" customHeight="false" outlineLevel="0" collapsed="false">
      <c r="A55" s="9" t="n">
        <v>54</v>
      </c>
      <c r="B55" s="9" t="s">
        <v>135</v>
      </c>
      <c r="C55" s="9" t="s">
        <v>37</v>
      </c>
      <c r="D55" s="9" t="s">
        <v>78</v>
      </c>
      <c r="E55" s="9" t="s">
        <v>43</v>
      </c>
      <c r="F55" s="9" t="s">
        <v>111</v>
      </c>
      <c r="G55" s="9" t="s">
        <v>83</v>
      </c>
      <c r="H55" s="10" t="n">
        <v>13.264</v>
      </c>
      <c r="I55" s="9" t="str">
        <f aca="false">IF(OR(G55="links",G55="gegen UZS"),INDEX(Bezugspunkte!$C:$C,MATCH(F55,Bezugspunkte!$A:$A,0)),INDEX(Bezugspunkte!$E:$E,MATCH(F55,Bezugspunkte!$A:$A,0)))</f>
        <v>Q3-R</v>
      </c>
      <c r="J55" s="10" t="n">
        <f aca="false">IF(OR(G55="links",G55="gegen UZS"),INDEX(Bezugspunkte!$D:$D,MATCH(F55,Bezugspunkte!$A:$A,0)),INDEX(Bezugspunkte!$F:$F,MATCH(F55,Bezugspunkte!$A:$A,0)))</f>
        <v>17.04</v>
      </c>
      <c r="K55" s="10" t="n">
        <f aca="false">J55-H55</f>
        <v>3.776</v>
      </c>
      <c r="L55" s="10" t="n">
        <f aca="false">IF(AND(F55=F54,G55=G54),H55-H54,H55)</f>
        <v>4.696</v>
      </c>
      <c r="M55" s="10" t="n">
        <v>13.264</v>
      </c>
      <c r="N55" s="10" t="n">
        <v>6.646</v>
      </c>
    </row>
    <row r="56" customFormat="false" ht="15" hidden="false" customHeight="false" outlineLevel="0" collapsed="false">
      <c r="A56" s="9" t="n">
        <v>55</v>
      </c>
      <c r="B56" s="9" t="s">
        <v>136</v>
      </c>
      <c r="C56" s="9" t="s">
        <v>37</v>
      </c>
      <c r="D56" s="9" t="s">
        <v>78</v>
      </c>
      <c r="E56" s="9" t="s">
        <v>43</v>
      </c>
      <c r="F56" s="9" t="s">
        <v>111</v>
      </c>
      <c r="G56" s="9" t="s">
        <v>83</v>
      </c>
      <c r="H56" s="10" t="n">
        <v>14.265</v>
      </c>
      <c r="I56" s="9" t="str">
        <f aca="false">IF(OR(G56="links",G56="gegen UZS"),INDEX(Bezugspunkte!$C:$C,MATCH(F56,Bezugspunkte!$A:$A,0)),INDEX(Bezugspunkte!$E:$E,MATCH(F56,Bezugspunkte!$A:$A,0)))</f>
        <v>Q3-R</v>
      </c>
      <c r="J56" s="10" t="n">
        <f aca="false">IF(OR(G56="links",G56="gegen UZS"),INDEX(Bezugspunkte!$D:$D,MATCH(F56,Bezugspunkte!$A:$A,0)),INDEX(Bezugspunkte!$F:$F,MATCH(F56,Bezugspunkte!$A:$A,0)))</f>
        <v>17.04</v>
      </c>
      <c r="K56" s="10" t="n">
        <f aca="false">J56-H56</f>
        <v>2.775</v>
      </c>
      <c r="L56" s="10" t="n">
        <f aca="false">IF(AND(F56=F55,G56=G55),H56-H55,H56)</f>
        <v>1.001</v>
      </c>
      <c r="M56" s="10" t="n">
        <v>14.265</v>
      </c>
      <c r="N56" s="10" t="n">
        <v>6.646</v>
      </c>
    </row>
    <row r="57" customFormat="false" ht="15" hidden="false" customHeight="false" outlineLevel="0" collapsed="false">
      <c r="A57" s="9" t="n">
        <v>56</v>
      </c>
      <c r="B57" s="9" t="s">
        <v>137</v>
      </c>
      <c r="C57" s="9" t="s">
        <v>33</v>
      </c>
      <c r="D57" s="9" t="s">
        <v>114</v>
      </c>
      <c r="E57" s="9" t="s">
        <v>44</v>
      </c>
      <c r="F57" s="9" t="s">
        <v>11</v>
      </c>
      <c r="G57" s="9" t="s">
        <v>76</v>
      </c>
      <c r="H57" s="10" t="n">
        <v>1.727</v>
      </c>
      <c r="I57" s="9" t="str">
        <f aca="false">IF(OR(G57="links",G57="gegen UZS"),INDEX(Bezugspunkte!$C:$C,MATCH(F57,Bezugspunkte!$A:$A,0)),INDEX(Bezugspunkte!$E:$E,MATCH(F57,Bezugspunkte!$A:$A,0)))</f>
        <v>Q4-L</v>
      </c>
      <c r="J57" s="10" t="n">
        <f aca="false">IF(OR(G57="links",G57="gegen UZS"),INDEX(Bezugspunkte!$D:$D,MATCH(F57,Bezugspunkte!$A:$A,0)),INDEX(Bezugspunkte!$F:$F,MATCH(F57,Bezugspunkte!$A:$A,0)))</f>
        <v>17.042</v>
      </c>
      <c r="K57" s="10" t="n">
        <f aca="false">J57-H57</f>
        <v>15.315</v>
      </c>
      <c r="L57" s="10" t="n">
        <f aca="false">IF(AND(F57=F56,G57=G56),H57-H56,H57)</f>
        <v>1.727</v>
      </c>
      <c r="M57" s="10" t="n">
        <v>-1.727</v>
      </c>
      <c r="N57" s="10" t="n">
        <v>0</v>
      </c>
    </row>
    <row r="58" customFormat="false" ht="15" hidden="false" customHeight="false" outlineLevel="0" collapsed="false">
      <c r="A58" s="9" t="n">
        <v>57</v>
      </c>
      <c r="B58" s="9" t="s">
        <v>138</v>
      </c>
      <c r="C58" s="9" t="s">
        <v>33</v>
      </c>
      <c r="D58" s="9" t="s">
        <v>114</v>
      </c>
      <c r="E58" s="9" t="s">
        <v>44</v>
      </c>
      <c r="F58" s="9" t="s">
        <v>11</v>
      </c>
      <c r="G58" s="9" t="s">
        <v>76</v>
      </c>
      <c r="H58" s="10" t="n">
        <v>3.222</v>
      </c>
      <c r="I58" s="9" t="str">
        <f aca="false">IF(OR(G58="links",G58="gegen UZS"),INDEX(Bezugspunkte!$C:$C,MATCH(F58,Bezugspunkte!$A:$A,0)),INDEX(Bezugspunkte!$E:$E,MATCH(F58,Bezugspunkte!$A:$A,0)))</f>
        <v>Q4-L</v>
      </c>
      <c r="J58" s="10" t="n">
        <f aca="false">IF(OR(G58="links",G58="gegen UZS"),INDEX(Bezugspunkte!$D:$D,MATCH(F58,Bezugspunkte!$A:$A,0)),INDEX(Bezugspunkte!$F:$F,MATCH(F58,Bezugspunkte!$A:$A,0)))</f>
        <v>17.042</v>
      </c>
      <c r="K58" s="10" t="n">
        <f aca="false">J58-H58</f>
        <v>13.82</v>
      </c>
      <c r="L58" s="10" t="n">
        <f aca="false">IF(AND(F58=F57,G58=G57),H58-H57,H58)</f>
        <v>1.495</v>
      </c>
      <c r="M58" s="10" t="n">
        <v>-3.222</v>
      </c>
      <c r="N58" s="10" t="n">
        <v>0</v>
      </c>
    </row>
    <row r="59" customFormat="false" ht="15" hidden="false" customHeight="false" outlineLevel="0" collapsed="false">
      <c r="A59" s="9" t="n">
        <v>58</v>
      </c>
      <c r="B59" s="9" t="s">
        <v>139</v>
      </c>
      <c r="C59" s="9" t="s">
        <v>33</v>
      </c>
      <c r="D59" s="9" t="s">
        <v>114</v>
      </c>
      <c r="E59" s="9" t="s">
        <v>44</v>
      </c>
      <c r="F59" s="9" t="s">
        <v>11</v>
      </c>
      <c r="G59" s="9" t="s">
        <v>76</v>
      </c>
      <c r="H59" s="10" t="n">
        <v>4.724</v>
      </c>
      <c r="I59" s="9" t="str">
        <f aca="false">IF(OR(G59="links",G59="gegen UZS"),INDEX(Bezugspunkte!$C:$C,MATCH(F59,Bezugspunkte!$A:$A,0)),INDEX(Bezugspunkte!$E:$E,MATCH(F59,Bezugspunkte!$A:$A,0)))</f>
        <v>Q4-L</v>
      </c>
      <c r="J59" s="10" t="n">
        <f aca="false">IF(OR(G59="links",G59="gegen UZS"),INDEX(Bezugspunkte!$D:$D,MATCH(F59,Bezugspunkte!$A:$A,0)),INDEX(Bezugspunkte!$F:$F,MATCH(F59,Bezugspunkte!$A:$A,0)))</f>
        <v>17.042</v>
      </c>
      <c r="K59" s="10" t="n">
        <f aca="false">J59-H59</f>
        <v>12.318</v>
      </c>
      <c r="L59" s="10" t="n">
        <f aca="false">IF(AND(F59=F58,G59=G58),H59-H58,H59)</f>
        <v>1.502</v>
      </c>
      <c r="M59" s="10" t="n">
        <v>-4.724</v>
      </c>
      <c r="N59" s="10" t="n">
        <v>0</v>
      </c>
    </row>
    <row r="60" customFormat="false" ht="15" hidden="false" customHeight="false" outlineLevel="0" collapsed="false">
      <c r="A60" s="9" t="n">
        <v>59</v>
      </c>
      <c r="B60" s="9" t="s">
        <v>140</v>
      </c>
      <c r="C60" s="9" t="s">
        <v>33</v>
      </c>
      <c r="D60" s="9" t="s">
        <v>114</v>
      </c>
      <c r="E60" s="9" t="s">
        <v>44</v>
      </c>
      <c r="F60" s="9" t="s">
        <v>11</v>
      </c>
      <c r="G60" s="9" t="s">
        <v>76</v>
      </c>
      <c r="H60" s="10" t="n">
        <v>6.226</v>
      </c>
      <c r="I60" s="9" t="str">
        <f aca="false">IF(OR(G60="links",G60="gegen UZS"),INDEX(Bezugspunkte!$C:$C,MATCH(F60,Bezugspunkte!$A:$A,0)),INDEX(Bezugspunkte!$E:$E,MATCH(F60,Bezugspunkte!$A:$A,0)))</f>
        <v>Q4-L</v>
      </c>
      <c r="J60" s="10" t="n">
        <f aca="false">IF(OR(G60="links",G60="gegen UZS"),INDEX(Bezugspunkte!$D:$D,MATCH(F60,Bezugspunkte!$A:$A,0)),INDEX(Bezugspunkte!$F:$F,MATCH(F60,Bezugspunkte!$A:$A,0)))</f>
        <v>17.042</v>
      </c>
      <c r="K60" s="10" t="n">
        <f aca="false">J60-H60</f>
        <v>10.816</v>
      </c>
      <c r="L60" s="10" t="n">
        <f aca="false">IF(AND(F60=F59,G60=G59),H60-H59,H60)</f>
        <v>1.502</v>
      </c>
      <c r="M60" s="10" t="n">
        <v>-6.226</v>
      </c>
      <c r="N60" s="10" t="n">
        <v>0</v>
      </c>
    </row>
    <row r="61" customFormat="false" ht="15" hidden="false" customHeight="false" outlineLevel="0" collapsed="false">
      <c r="A61" s="9" t="n">
        <v>60</v>
      </c>
      <c r="B61" s="9" t="s">
        <v>141</v>
      </c>
      <c r="C61" s="9" t="s">
        <v>35</v>
      </c>
      <c r="D61" s="9" t="s">
        <v>74</v>
      </c>
      <c r="E61" s="9" t="s">
        <v>44</v>
      </c>
      <c r="F61" s="9" t="s">
        <v>11</v>
      </c>
      <c r="G61" s="9" t="s">
        <v>76</v>
      </c>
      <c r="H61" s="10" t="n">
        <v>13.418</v>
      </c>
      <c r="I61" s="9" t="str">
        <f aca="false">IF(OR(G61="links",G61="gegen UZS"),INDEX(Bezugspunkte!$C:$C,MATCH(F61,Bezugspunkte!$A:$A,0)),INDEX(Bezugspunkte!$E:$E,MATCH(F61,Bezugspunkte!$A:$A,0)))</f>
        <v>Q4-L</v>
      </c>
      <c r="J61" s="10" t="n">
        <f aca="false">IF(OR(G61="links",G61="gegen UZS"),INDEX(Bezugspunkte!$D:$D,MATCH(F61,Bezugspunkte!$A:$A,0)),INDEX(Bezugspunkte!$F:$F,MATCH(F61,Bezugspunkte!$A:$A,0)))</f>
        <v>17.042</v>
      </c>
      <c r="K61" s="10" t="n">
        <f aca="false">J61-H61</f>
        <v>3.624</v>
      </c>
      <c r="L61" s="10" t="n">
        <f aca="false">IF(AND(F61=F60,G61=G60),H61-H60,H61)</f>
        <v>7.192</v>
      </c>
      <c r="M61" s="10" t="n">
        <v>-13.418</v>
      </c>
      <c r="N61" s="10" t="n">
        <v>0</v>
      </c>
    </row>
    <row r="62" customFormat="false" ht="15" hidden="false" customHeight="false" outlineLevel="0" collapsed="false">
      <c r="A62" s="9" t="n">
        <v>61</v>
      </c>
      <c r="B62" s="9" t="s">
        <v>142</v>
      </c>
      <c r="C62" s="9" t="s">
        <v>35</v>
      </c>
      <c r="D62" s="9" t="s">
        <v>74</v>
      </c>
      <c r="E62" s="9" t="s">
        <v>44</v>
      </c>
      <c r="F62" s="9" t="s">
        <v>11</v>
      </c>
      <c r="G62" s="9" t="s">
        <v>76</v>
      </c>
      <c r="H62" s="10" t="n">
        <v>14.419</v>
      </c>
      <c r="I62" s="9" t="str">
        <f aca="false">IF(OR(G62="links",G62="gegen UZS"),INDEX(Bezugspunkte!$C:$C,MATCH(F62,Bezugspunkte!$A:$A,0)),INDEX(Bezugspunkte!$E:$E,MATCH(F62,Bezugspunkte!$A:$A,0)))</f>
        <v>Q4-L</v>
      </c>
      <c r="J62" s="10" t="n">
        <f aca="false">IF(OR(G62="links",G62="gegen UZS"),INDEX(Bezugspunkte!$D:$D,MATCH(F62,Bezugspunkte!$A:$A,0)),INDEX(Bezugspunkte!$F:$F,MATCH(F62,Bezugspunkte!$A:$A,0)))</f>
        <v>17.042</v>
      </c>
      <c r="K62" s="10" t="n">
        <f aca="false">J62-H62</f>
        <v>2.623</v>
      </c>
      <c r="L62" s="10" t="n">
        <f aca="false">IF(AND(F62=F61,G62=G61),H62-H61,H62)</f>
        <v>1.001</v>
      </c>
      <c r="M62" s="10" t="n">
        <v>-14.419</v>
      </c>
      <c r="N62" s="10" t="n">
        <v>0</v>
      </c>
    </row>
    <row r="63" customFormat="false" ht="15" hidden="false" customHeight="false" outlineLevel="0" collapsed="false">
      <c r="A63" s="9" t="n">
        <v>62</v>
      </c>
      <c r="B63" s="9" t="s">
        <v>143</v>
      </c>
      <c r="C63" s="9" t="s">
        <v>33</v>
      </c>
      <c r="D63" s="9" t="s">
        <v>114</v>
      </c>
      <c r="E63" s="9" t="s">
        <v>44</v>
      </c>
      <c r="F63" s="9" t="s">
        <v>11</v>
      </c>
      <c r="G63" s="9" t="s">
        <v>83</v>
      </c>
      <c r="H63" s="10" t="n">
        <v>1.77</v>
      </c>
      <c r="I63" s="9" t="str">
        <f aca="false">IF(OR(G63="links",G63="gegen UZS"),INDEX(Bezugspunkte!$C:$C,MATCH(F63,Bezugspunkte!$A:$A,0)),INDEX(Bezugspunkte!$E:$E,MATCH(F63,Bezugspunkte!$A:$A,0)))</f>
        <v>Q4-R</v>
      </c>
      <c r="J63" s="10" t="n">
        <f aca="false">IF(OR(G63="links",G63="gegen UZS"),INDEX(Bezugspunkte!$D:$D,MATCH(F63,Bezugspunkte!$A:$A,0)),INDEX(Bezugspunkte!$F:$F,MATCH(F63,Bezugspunkte!$A:$A,0)))</f>
        <v>17.08</v>
      </c>
      <c r="K63" s="10" t="n">
        <f aca="false">J63-H63</f>
        <v>15.31</v>
      </c>
      <c r="L63" s="10" t="n">
        <f aca="false">IF(AND(F63=F62,G63=G62),H63-H62,H63)</f>
        <v>1.77</v>
      </c>
      <c r="M63" s="10" t="n">
        <v>1.77</v>
      </c>
      <c r="N63" s="10" t="n">
        <v>0</v>
      </c>
    </row>
    <row r="64" customFormat="false" ht="15" hidden="false" customHeight="false" outlineLevel="0" collapsed="false">
      <c r="A64" s="9" t="n">
        <v>63</v>
      </c>
      <c r="B64" s="9" t="s">
        <v>144</v>
      </c>
      <c r="C64" s="9" t="s">
        <v>33</v>
      </c>
      <c r="D64" s="9" t="s">
        <v>114</v>
      </c>
      <c r="E64" s="9" t="s">
        <v>44</v>
      </c>
      <c r="F64" s="9" t="s">
        <v>11</v>
      </c>
      <c r="G64" s="9" t="s">
        <v>83</v>
      </c>
      <c r="H64" s="10" t="n">
        <v>3.272</v>
      </c>
      <c r="I64" s="9" t="str">
        <f aca="false">IF(OR(G64="links",G64="gegen UZS"),INDEX(Bezugspunkte!$C:$C,MATCH(F64,Bezugspunkte!$A:$A,0)),INDEX(Bezugspunkte!$E:$E,MATCH(F64,Bezugspunkte!$A:$A,0)))</f>
        <v>Q4-R</v>
      </c>
      <c r="J64" s="10" t="n">
        <f aca="false">IF(OR(G64="links",G64="gegen UZS"),INDEX(Bezugspunkte!$D:$D,MATCH(F64,Bezugspunkte!$A:$A,0)),INDEX(Bezugspunkte!$F:$F,MATCH(F64,Bezugspunkte!$A:$A,0)))</f>
        <v>17.08</v>
      </c>
      <c r="K64" s="10" t="n">
        <f aca="false">J64-H64</f>
        <v>13.808</v>
      </c>
      <c r="L64" s="10" t="n">
        <f aca="false">IF(AND(F64=F63,G64=G63),H64-H63,H64)</f>
        <v>1.502</v>
      </c>
      <c r="M64" s="10" t="n">
        <v>3.272</v>
      </c>
      <c r="N64" s="10" t="n">
        <v>0</v>
      </c>
    </row>
    <row r="65" customFormat="false" ht="15" hidden="false" customHeight="false" outlineLevel="0" collapsed="false">
      <c r="A65" s="9" t="n">
        <v>64</v>
      </c>
      <c r="B65" s="9" t="s">
        <v>145</v>
      </c>
      <c r="C65" s="9" t="s">
        <v>33</v>
      </c>
      <c r="D65" s="9" t="s">
        <v>114</v>
      </c>
      <c r="E65" s="9" t="s">
        <v>44</v>
      </c>
      <c r="F65" s="9" t="s">
        <v>11</v>
      </c>
      <c r="G65" s="9" t="s">
        <v>83</v>
      </c>
      <c r="H65" s="10" t="n">
        <v>4.774</v>
      </c>
      <c r="I65" s="9" t="str">
        <f aca="false">IF(OR(G65="links",G65="gegen UZS"),INDEX(Bezugspunkte!$C:$C,MATCH(F65,Bezugspunkte!$A:$A,0)),INDEX(Bezugspunkte!$E:$E,MATCH(F65,Bezugspunkte!$A:$A,0)))</f>
        <v>Q4-R</v>
      </c>
      <c r="J65" s="10" t="n">
        <f aca="false">IF(OR(G65="links",G65="gegen UZS"),INDEX(Bezugspunkte!$D:$D,MATCH(F65,Bezugspunkte!$A:$A,0)),INDEX(Bezugspunkte!$F:$F,MATCH(F65,Bezugspunkte!$A:$A,0)))</f>
        <v>17.08</v>
      </c>
      <c r="K65" s="10" t="n">
        <f aca="false">J65-H65</f>
        <v>12.306</v>
      </c>
      <c r="L65" s="10" t="n">
        <f aca="false">IF(AND(F65=F64,G65=G64),H65-H64,H65)</f>
        <v>1.502</v>
      </c>
      <c r="M65" s="10" t="n">
        <v>4.774</v>
      </c>
      <c r="N65" s="10" t="n">
        <v>0</v>
      </c>
    </row>
    <row r="66" customFormat="false" ht="15" hidden="false" customHeight="false" outlineLevel="0" collapsed="false">
      <c r="A66" s="9" t="n">
        <v>65</v>
      </c>
      <c r="B66" s="9" t="s">
        <v>146</v>
      </c>
      <c r="C66" s="9" t="s">
        <v>33</v>
      </c>
      <c r="D66" s="9" t="s">
        <v>114</v>
      </c>
      <c r="E66" s="9" t="s">
        <v>44</v>
      </c>
      <c r="F66" s="9" t="s">
        <v>11</v>
      </c>
      <c r="G66" s="9" t="s">
        <v>83</v>
      </c>
      <c r="H66" s="10" t="n">
        <v>6.269</v>
      </c>
      <c r="I66" s="9" t="str">
        <f aca="false">IF(OR(G66="links",G66="gegen UZS"),INDEX(Bezugspunkte!$C:$C,MATCH(F66,Bezugspunkte!$A:$A,0)),INDEX(Bezugspunkte!$E:$E,MATCH(F66,Bezugspunkte!$A:$A,0)))</f>
        <v>Q4-R</v>
      </c>
      <c r="J66" s="10" t="n">
        <f aca="false">IF(OR(G66="links",G66="gegen UZS"),INDEX(Bezugspunkte!$D:$D,MATCH(F66,Bezugspunkte!$A:$A,0)),INDEX(Bezugspunkte!$F:$F,MATCH(F66,Bezugspunkte!$A:$A,0)))</f>
        <v>17.08</v>
      </c>
      <c r="K66" s="10" t="n">
        <f aca="false">J66-H66</f>
        <v>10.811</v>
      </c>
      <c r="L66" s="10" t="n">
        <f aca="false">IF(AND(F66=F65,G66=G65),H66-H65,H66)</f>
        <v>1.495</v>
      </c>
      <c r="M66" s="10" t="n">
        <v>6.269</v>
      </c>
      <c r="N66" s="10" t="n">
        <v>0</v>
      </c>
    </row>
    <row r="67" customFormat="false" ht="15" hidden="false" customHeight="false" outlineLevel="0" collapsed="false">
      <c r="A67" s="9" t="n">
        <v>66</v>
      </c>
      <c r="B67" s="9" t="s">
        <v>147</v>
      </c>
      <c r="C67" s="9" t="s">
        <v>35</v>
      </c>
      <c r="D67" s="9" t="s">
        <v>74</v>
      </c>
      <c r="E67" s="9" t="s">
        <v>44</v>
      </c>
      <c r="F67" s="9" t="s">
        <v>11</v>
      </c>
      <c r="G67" s="9" t="s">
        <v>83</v>
      </c>
      <c r="H67" s="10" t="n">
        <v>13.264</v>
      </c>
      <c r="I67" s="9" t="str">
        <f aca="false">IF(OR(G67="links",G67="gegen UZS"),INDEX(Bezugspunkte!$C:$C,MATCH(F67,Bezugspunkte!$A:$A,0)),INDEX(Bezugspunkte!$E:$E,MATCH(F67,Bezugspunkte!$A:$A,0)))</f>
        <v>Q4-R</v>
      </c>
      <c r="J67" s="10" t="n">
        <f aca="false">IF(OR(G67="links",G67="gegen UZS"),INDEX(Bezugspunkte!$D:$D,MATCH(F67,Bezugspunkte!$A:$A,0)),INDEX(Bezugspunkte!$F:$F,MATCH(F67,Bezugspunkte!$A:$A,0)))</f>
        <v>17.08</v>
      </c>
      <c r="K67" s="10" t="n">
        <f aca="false">J67-H67</f>
        <v>3.816</v>
      </c>
      <c r="L67" s="10" t="n">
        <f aca="false">IF(AND(F67=F66,G67=G66),H67-H66,H67)</f>
        <v>6.995</v>
      </c>
      <c r="M67" s="10" t="n">
        <v>13.264</v>
      </c>
      <c r="N67" s="10" t="n">
        <v>0</v>
      </c>
    </row>
    <row r="68" customFormat="false" ht="15" hidden="false" customHeight="false" outlineLevel="0" collapsed="false">
      <c r="A68" s="9" t="n">
        <v>67</v>
      </c>
      <c r="B68" s="9" t="s">
        <v>148</v>
      </c>
      <c r="C68" s="9" t="s">
        <v>35</v>
      </c>
      <c r="D68" s="9" t="s">
        <v>74</v>
      </c>
      <c r="E68" s="9" t="s">
        <v>44</v>
      </c>
      <c r="F68" s="9" t="s">
        <v>11</v>
      </c>
      <c r="G68" s="9" t="s">
        <v>83</v>
      </c>
      <c r="H68" s="10" t="n">
        <v>14.265</v>
      </c>
      <c r="I68" s="9" t="str">
        <f aca="false">IF(OR(G68="links",G68="gegen UZS"),INDEX(Bezugspunkte!$C:$C,MATCH(F68,Bezugspunkte!$A:$A,0)),INDEX(Bezugspunkte!$E:$E,MATCH(F68,Bezugspunkte!$A:$A,0)))</f>
        <v>Q4-R</v>
      </c>
      <c r="J68" s="10" t="n">
        <f aca="false">IF(OR(G68="links",G68="gegen UZS"),INDEX(Bezugspunkte!$D:$D,MATCH(F68,Bezugspunkte!$A:$A,0)),INDEX(Bezugspunkte!$F:$F,MATCH(F68,Bezugspunkte!$A:$A,0)))</f>
        <v>17.08</v>
      </c>
      <c r="K68" s="10" t="n">
        <f aca="false">J68-H68</f>
        <v>2.815</v>
      </c>
      <c r="L68" s="10" t="n">
        <f aca="false">IF(AND(F68=F67,G68=G67),H68-H67,H68)</f>
        <v>1.001</v>
      </c>
      <c r="M68" s="10" t="n">
        <v>14.265</v>
      </c>
      <c r="N68" s="10" t="n">
        <v>0</v>
      </c>
    </row>
    <row r="69" customFormat="false" ht="15" hidden="false" customHeight="false" outlineLevel="0" collapsed="false">
      <c r="A69" s="9" t="n">
        <v>68</v>
      </c>
      <c r="B69" s="9" t="s">
        <v>149</v>
      </c>
      <c r="C69" s="9" t="s">
        <v>37</v>
      </c>
      <c r="D69" s="9" t="s">
        <v>78</v>
      </c>
      <c r="E69" s="9" t="s">
        <v>45</v>
      </c>
      <c r="F69" s="9" t="s">
        <v>150</v>
      </c>
      <c r="G69" s="9" t="s">
        <v>76</v>
      </c>
      <c r="H69" s="10" t="n">
        <v>0.373</v>
      </c>
      <c r="I69" s="9" t="str">
        <f aca="false">IF(OR(G69="links",G69="gegen UZS"),INDEX(Bezugspunkte!$C:$C,MATCH(F69,Bezugspunkte!$A:$A,0)),INDEX(Bezugspunkte!$E:$E,MATCH(F69,Bezugspunkte!$A:$A,0)))</f>
        <v>Q5-L</v>
      </c>
      <c r="J69" s="10" t="n">
        <f aca="false">IF(OR(G69="links",G69="gegen UZS"),INDEX(Bezugspunkte!$D:$D,MATCH(F69,Bezugspunkte!$A:$A,0)),INDEX(Bezugspunkte!$F:$F,MATCH(F69,Bezugspunkte!$A:$A,0)))</f>
        <v>17.041</v>
      </c>
      <c r="K69" s="10" t="n">
        <f aca="false">J69-H69</f>
        <v>16.668</v>
      </c>
      <c r="L69" s="10" t="n">
        <f aca="false">IF(AND(F69=F68,G69=G68),H69-H68,H69)</f>
        <v>0.373</v>
      </c>
      <c r="M69" s="10" t="n">
        <v>-0.373</v>
      </c>
      <c r="N69" s="10" t="n">
        <v>-6.649</v>
      </c>
    </row>
    <row r="70" customFormat="false" ht="15" hidden="false" customHeight="false" outlineLevel="0" collapsed="false">
      <c r="A70" s="9" t="n">
        <v>69</v>
      </c>
      <c r="B70" s="9" t="s">
        <v>151</v>
      </c>
      <c r="C70" s="9" t="s">
        <v>37</v>
      </c>
      <c r="D70" s="9" t="s">
        <v>78</v>
      </c>
      <c r="E70" s="9" t="s">
        <v>45</v>
      </c>
      <c r="F70" s="9" t="s">
        <v>150</v>
      </c>
      <c r="G70" s="9" t="s">
        <v>76</v>
      </c>
      <c r="H70" s="10" t="n">
        <v>0.874</v>
      </c>
      <c r="I70" s="9" t="str">
        <f aca="false">IF(OR(G70="links",G70="gegen UZS"),INDEX(Bezugspunkte!$C:$C,MATCH(F70,Bezugspunkte!$A:$A,0)),INDEX(Bezugspunkte!$E:$E,MATCH(F70,Bezugspunkte!$A:$A,0)))</f>
        <v>Q5-L</v>
      </c>
      <c r="J70" s="10" t="n">
        <f aca="false">IF(OR(G70="links",G70="gegen UZS"),INDEX(Bezugspunkte!$D:$D,MATCH(F70,Bezugspunkte!$A:$A,0)),INDEX(Bezugspunkte!$F:$F,MATCH(F70,Bezugspunkte!$A:$A,0)))</f>
        <v>17.041</v>
      </c>
      <c r="K70" s="10" t="n">
        <f aca="false">J70-H70</f>
        <v>16.167</v>
      </c>
      <c r="L70" s="10" t="n">
        <f aca="false">IF(AND(F70=F69,G70=G69),H70-H69,H70)</f>
        <v>0.501</v>
      </c>
      <c r="M70" s="10" t="n">
        <v>-0.874</v>
      </c>
      <c r="N70" s="10" t="n">
        <v>-6.649</v>
      </c>
    </row>
    <row r="71" customFormat="false" ht="15" hidden="false" customHeight="false" outlineLevel="0" collapsed="false">
      <c r="A71" s="9" t="n">
        <v>70</v>
      </c>
      <c r="B71" s="9" t="s">
        <v>152</v>
      </c>
      <c r="C71" s="9" t="s">
        <v>33</v>
      </c>
      <c r="D71" s="9" t="s">
        <v>114</v>
      </c>
      <c r="E71" s="9" t="s">
        <v>45</v>
      </c>
      <c r="F71" s="9" t="s">
        <v>150</v>
      </c>
      <c r="G71" s="9" t="s">
        <v>76</v>
      </c>
      <c r="H71" s="10" t="n">
        <v>1.727</v>
      </c>
      <c r="I71" s="9" t="str">
        <f aca="false">IF(OR(G71="links",G71="gegen UZS"),INDEX(Bezugspunkte!$C:$C,MATCH(F71,Bezugspunkte!$A:$A,0)),INDEX(Bezugspunkte!$E:$E,MATCH(F71,Bezugspunkte!$A:$A,0)))</f>
        <v>Q5-L</v>
      </c>
      <c r="J71" s="10" t="n">
        <f aca="false">IF(OR(G71="links",G71="gegen UZS"),INDEX(Bezugspunkte!$D:$D,MATCH(F71,Bezugspunkte!$A:$A,0)),INDEX(Bezugspunkte!$F:$F,MATCH(F71,Bezugspunkte!$A:$A,0)))</f>
        <v>17.041</v>
      </c>
      <c r="K71" s="10" t="n">
        <f aca="false">J71-H71</f>
        <v>15.314</v>
      </c>
      <c r="L71" s="10" t="n">
        <f aca="false">IF(AND(F71=F70,G71=G70),H71-H70,H71)</f>
        <v>0.853</v>
      </c>
      <c r="M71" s="10" t="n">
        <v>-1.727</v>
      </c>
      <c r="N71" s="10" t="n">
        <v>-6.649</v>
      </c>
    </row>
    <row r="72" customFormat="false" ht="15" hidden="false" customHeight="false" outlineLevel="0" collapsed="false">
      <c r="A72" s="9" t="n">
        <v>71</v>
      </c>
      <c r="B72" s="9" t="s">
        <v>153</v>
      </c>
      <c r="C72" s="9" t="s">
        <v>33</v>
      </c>
      <c r="D72" s="9" t="s">
        <v>114</v>
      </c>
      <c r="E72" s="9" t="s">
        <v>45</v>
      </c>
      <c r="F72" s="9" t="s">
        <v>150</v>
      </c>
      <c r="G72" s="9" t="s">
        <v>76</v>
      </c>
      <c r="H72" s="10" t="n">
        <v>2.721</v>
      </c>
      <c r="I72" s="9" t="str">
        <f aca="false">IF(OR(G72="links",G72="gegen UZS"),INDEX(Bezugspunkte!$C:$C,MATCH(F72,Bezugspunkte!$A:$A,0)),INDEX(Bezugspunkte!$E:$E,MATCH(F72,Bezugspunkte!$A:$A,0)))</f>
        <v>Q5-L</v>
      </c>
      <c r="J72" s="10" t="n">
        <f aca="false">IF(OR(G72="links",G72="gegen UZS"),INDEX(Bezugspunkte!$D:$D,MATCH(F72,Bezugspunkte!$A:$A,0)),INDEX(Bezugspunkte!$F:$F,MATCH(F72,Bezugspunkte!$A:$A,0)))</f>
        <v>17.041</v>
      </c>
      <c r="K72" s="10" t="n">
        <f aca="false">J72-H72</f>
        <v>14.32</v>
      </c>
      <c r="L72" s="10" t="n">
        <f aca="false">IF(AND(F72=F71,G72=G71),H72-H71,H72)</f>
        <v>0.994</v>
      </c>
      <c r="M72" s="10" t="n">
        <v>-2.721</v>
      </c>
      <c r="N72" s="10" t="n">
        <v>-6.649</v>
      </c>
    </row>
    <row r="73" customFormat="false" ht="15" hidden="false" customHeight="false" outlineLevel="0" collapsed="false">
      <c r="A73" s="9" t="n">
        <v>72</v>
      </c>
      <c r="B73" s="9" t="s">
        <v>154</v>
      </c>
      <c r="C73" s="9" t="s">
        <v>35</v>
      </c>
      <c r="D73" s="9" t="s">
        <v>74</v>
      </c>
      <c r="E73" s="9" t="s">
        <v>45</v>
      </c>
      <c r="F73" s="9" t="s">
        <v>150</v>
      </c>
      <c r="G73" s="9" t="s">
        <v>76</v>
      </c>
      <c r="H73" s="10" t="n">
        <v>3.525</v>
      </c>
      <c r="I73" s="9" t="str">
        <f aca="false">IF(OR(G73="links",G73="gegen UZS"),INDEX(Bezugspunkte!$C:$C,MATCH(F73,Bezugspunkte!$A:$A,0)),INDEX(Bezugspunkte!$E:$E,MATCH(F73,Bezugspunkte!$A:$A,0)))</f>
        <v>Q5-L</v>
      </c>
      <c r="J73" s="10" t="n">
        <f aca="false">IF(OR(G73="links",G73="gegen UZS"),INDEX(Bezugspunkte!$D:$D,MATCH(F73,Bezugspunkte!$A:$A,0)),INDEX(Bezugspunkte!$F:$F,MATCH(F73,Bezugspunkte!$A:$A,0)))</f>
        <v>17.041</v>
      </c>
      <c r="K73" s="10" t="n">
        <f aca="false">J73-H73</f>
        <v>13.516</v>
      </c>
      <c r="L73" s="10" t="n">
        <f aca="false">IF(AND(F73=F72,G73=G72),H73-H72,H73)</f>
        <v>0.804</v>
      </c>
      <c r="M73" s="10" t="n">
        <v>-3.525</v>
      </c>
      <c r="N73" s="10" t="n">
        <v>-6.649</v>
      </c>
    </row>
    <row r="74" customFormat="false" ht="15" hidden="false" customHeight="false" outlineLevel="0" collapsed="false">
      <c r="A74" s="9" t="n">
        <v>73</v>
      </c>
      <c r="B74" s="9" t="s">
        <v>155</v>
      </c>
      <c r="C74" s="9" t="s">
        <v>35</v>
      </c>
      <c r="D74" s="9" t="s">
        <v>74</v>
      </c>
      <c r="E74" s="9" t="s">
        <v>45</v>
      </c>
      <c r="F74" s="9" t="s">
        <v>150</v>
      </c>
      <c r="G74" s="9" t="s">
        <v>76</v>
      </c>
      <c r="H74" s="10" t="n">
        <v>4.322</v>
      </c>
      <c r="I74" s="9" t="str">
        <f aca="false">IF(OR(G74="links",G74="gegen UZS"),INDEX(Bezugspunkte!$C:$C,MATCH(F74,Bezugspunkte!$A:$A,0)),INDEX(Bezugspunkte!$E:$E,MATCH(F74,Bezugspunkte!$A:$A,0)))</f>
        <v>Q5-L</v>
      </c>
      <c r="J74" s="10" t="n">
        <f aca="false">IF(OR(G74="links",G74="gegen UZS"),INDEX(Bezugspunkte!$D:$D,MATCH(F74,Bezugspunkte!$A:$A,0)),INDEX(Bezugspunkte!$F:$F,MATCH(F74,Bezugspunkte!$A:$A,0)))</f>
        <v>17.041</v>
      </c>
      <c r="K74" s="10" t="n">
        <f aca="false">J74-H74</f>
        <v>12.719</v>
      </c>
      <c r="L74" s="10" t="n">
        <f aca="false">IF(AND(F74=F73,G74=G73),H74-H73,H74)</f>
        <v>0.797</v>
      </c>
      <c r="M74" s="10" t="n">
        <v>-4.322</v>
      </c>
      <c r="N74" s="10" t="n">
        <v>-6.649</v>
      </c>
    </row>
    <row r="75" customFormat="false" ht="15" hidden="false" customHeight="false" outlineLevel="0" collapsed="false">
      <c r="A75" s="9" t="n">
        <v>74</v>
      </c>
      <c r="B75" s="9" t="s">
        <v>156</v>
      </c>
      <c r="C75" s="9" t="s">
        <v>33</v>
      </c>
      <c r="D75" s="9" t="s">
        <v>114</v>
      </c>
      <c r="E75" s="9" t="s">
        <v>45</v>
      </c>
      <c r="F75" s="9" t="s">
        <v>150</v>
      </c>
      <c r="G75" s="9" t="s">
        <v>76</v>
      </c>
      <c r="H75" s="10" t="n">
        <v>5.224</v>
      </c>
      <c r="I75" s="9" t="str">
        <f aca="false">IF(OR(G75="links",G75="gegen UZS"),INDEX(Bezugspunkte!$C:$C,MATCH(F75,Bezugspunkte!$A:$A,0)),INDEX(Bezugspunkte!$E:$E,MATCH(F75,Bezugspunkte!$A:$A,0)))</f>
        <v>Q5-L</v>
      </c>
      <c r="J75" s="10" t="n">
        <f aca="false">IF(OR(G75="links",G75="gegen UZS"),INDEX(Bezugspunkte!$D:$D,MATCH(F75,Bezugspunkte!$A:$A,0)),INDEX(Bezugspunkte!$F:$F,MATCH(F75,Bezugspunkte!$A:$A,0)))</f>
        <v>17.041</v>
      </c>
      <c r="K75" s="10" t="n">
        <f aca="false">J75-H75</f>
        <v>11.817</v>
      </c>
      <c r="L75" s="10" t="n">
        <f aca="false">IF(AND(F75=F74,G75=G74),H75-H74,H75)</f>
        <v>0.902</v>
      </c>
      <c r="M75" s="10" t="n">
        <v>-5.224</v>
      </c>
      <c r="N75" s="10" t="n">
        <v>-6.649</v>
      </c>
    </row>
    <row r="76" customFormat="false" ht="15" hidden="false" customHeight="false" outlineLevel="0" collapsed="false">
      <c r="A76" s="9" t="n">
        <v>75</v>
      </c>
      <c r="B76" s="9" t="s">
        <v>157</v>
      </c>
      <c r="C76" s="9" t="s">
        <v>33</v>
      </c>
      <c r="D76" s="9" t="s">
        <v>114</v>
      </c>
      <c r="E76" s="9" t="s">
        <v>45</v>
      </c>
      <c r="F76" s="9" t="s">
        <v>150</v>
      </c>
      <c r="G76" s="9" t="s">
        <v>76</v>
      </c>
      <c r="H76" s="10" t="n">
        <v>6.226</v>
      </c>
      <c r="I76" s="9" t="str">
        <f aca="false">IF(OR(G76="links",G76="gegen UZS"),INDEX(Bezugspunkte!$C:$C,MATCH(F76,Bezugspunkte!$A:$A,0)),INDEX(Bezugspunkte!$E:$E,MATCH(F76,Bezugspunkte!$A:$A,0)))</f>
        <v>Q5-L</v>
      </c>
      <c r="J76" s="10" t="n">
        <f aca="false">IF(OR(G76="links",G76="gegen UZS"),INDEX(Bezugspunkte!$D:$D,MATCH(F76,Bezugspunkte!$A:$A,0)),INDEX(Bezugspunkte!$F:$F,MATCH(F76,Bezugspunkte!$A:$A,0)))</f>
        <v>17.041</v>
      </c>
      <c r="K76" s="10" t="n">
        <f aca="false">J76-H76</f>
        <v>10.815</v>
      </c>
      <c r="L76" s="10" t="n">
        <f aca="false">IF(AND(F76=F75,G76=G75),H76-H75,H76)</f>
        <v>1.002</v>
      </c>
      <c r="M76" s="10" t="n">
        <v>-6.226</v>
      </c>
      <c r="N76" s="10" t="n">
        <v>-6.649</v>
      </c>
    </row>
    <row r="77" customFormat="false" ht="15" hidden="false" customHeight="false" outlineLevel="0" collapsed="false">
      <c r="A77" s="9" t="n">
        <v>76</v>
      </c>
      <c r="B77" s="9" t="s">
        <v>158</v>
      </c>
      <c r="C77" s="9" t="s">
        <v>37</v>
      </c>
      <c r="D77" s="9" t="s">
        <v>78</v>
      </c>
      <c r="E77" s="9" t="s">
        <v>45</v>
      </c>
      <c r="F77" s="9" t="s">
        <v>150</v>
      </c>
      <c r="G77" s="9" t="s">
        <v>76</v>
      </c>
      <c r="H77" s="10" t="n">
        <v>7.523</v>
      </c>
      <c r="I77" s="9" t="str">
        <f aca="false">IF(OR(G77="links",G77="gegen UZS"),INDEX(Bezugspunkte!$C:$C,MATCH(F77,Bezugspunkte!$A:$A,0)),INDEX(Bezugspunkte!$E:$E,MATCH(F77,Bezugspunkte!$A:$A,0)))</f>
        <v>Q5-L</v>
      </c>
      <c r="J77" s="10" t="n">
        <f aca="false">IF(OR(G77="links",G77="gegen UZS"),INDEX(Bezugspunkte!$D:$D,MATCH(F77,Bezugspunkte!$A:$A,0)),INDEX(Bezugspunkte!$F:$F,MATCH(F77,Bezugspunkte!$A:$A,0)))</f>
        <v>17.041</v>
      </c>
      <c r="K77" s="10" t="n">
        <f aca="false">J77-H77</f>
        <v>9.518</v>
      </c>
      <c r="L77" s="10" t="n">
        <f aca="false">IF(AND(F77=F76,G77=G76),H77-H76,H77)</f>
        <v>1.297</v>
      </c>
      <c r="M77" s="10" t="n">
        <v>-7.523</v>
      </c>
      <c r="N77" s="10" t="n">
        <v>-6.649</v>
      </c>
    </row>
    <row r="78" customFormat="false" ht="15" hidden="false" customHeight="false" outlineLevel="0" collapsed="false">
      <c r="A78" s="9" t="n">
        <v>77</v>
      </c>
      <c r="B78" s="9" t="s">
        <v>159</v>
      </c>
      <c r="C78" s="9" t="s">
        <v>37</v>
      </c>
      <c r="D78" s="9" t="s">
        <v>78</v>
      </c>
      <c r="E78" s="9" t="s">
        <v>45</v>
      </c>
      <c r="F78" s="9" t="s">
        <v>150</v>
      </c>
      <c r="G78" s="9" t="s">
        <v>76</v>
      </c>
      <c r="H78" s="10" t="n">
        <v>8.524</v>
      </c>
      <c r="I78" s="9" t="str">
        <f aca="false">IF(OR(G78="links",G78="gegen UZS"),INDEX(Bezugspunkte!$C:$C,MATCH(F78,Bezugspunkte!$A:$A,0)),INDEX(Bezugspunkte!$E:$E,MATCH(F78,Bezugspunkte!$A:$A,0)))</f>
        <v>Q5-L</v>
      </c>
      <c r="J78" s="10" t="n">
        <f aca="false">IF(OR(G78="links",G78="gegen UZS"),INDEX(Bezugspunkte!$D:$D,MATCH(F78,Bezugspunkte!$A:$A,0)),INDEX(Bezugspunkte!$F:$F,MATCH(F78,Bezugspunkte!$A:$A,0)))</f>
        <v>17.041</v>
      </c>
      <c r="K78" s="10" t="n">
        <f aca="false">J78-H78</f>
        <v>8.517</v>
      </c>
      <c r="L78" s="10" t="n">
        <f aca="false">IF(AND(F78=F77,G78=G77),H78-H77,H78)</f>
        <v>1.001</v>
      </c>
      <c r="M78" s="10" t="n">
        <v>-8.524</v>
      </c>
      <c r="N78" s="10" t="n">
        <v>-6.649</v>
      </c>
    </row>
    <row r="79" customFormat="false" ht="15" hidden="false" customHeight="false" outlineLevel="0" collapsed="false">
      <c r="A79" s="9" t="n">
        <v>78</v>
      </c>
      <c r="B79" s="9" t="s">
        <v>160</v>
      </c>
      <c r="C79" s="9" t="s">
        <v>37</v>
      </c>
      <c r="D79" s="9" t="s">
        <v>78</v>
      </c>
      <c r="E79" s="9" t="s">
        <v>45</v>
      </c>
      <c r="F79" s="9" t="s">
        <v>150</v>
      </c>
      <c r="G79" s="9" t="s">
        <v>76</v>
      </c>
      <c r="H79" s="10" t="n">
        <v>13.418</v>
      </c>
      <c r="I79" s="9" t="str">
        <f aca="false">IF(OR(G79="links",G79="gegen UZS"),INDEX(Bezugspunkte!$C:$C,MATCH(F79,Bezugspunkte!$A:$A,0)),INDEX(Bezugspunkte!$E:$E,MATCH(F79,Bezugspunkte!$A:$A,0)))</f>
        <v>Q5-L</v>
      </c>
      <c r="J79" s="10" t="n">
        <f aca="false">IF(OR(G79="links",G79="gegen UZS"),INDEX(Bezugspunkte!$D:$D,MATCH(F79,Bezugspunkte!$A:$A,0)),INDEX(Bezugspunkte!$F:$F,MATCH(F79,Bezugspunkte!$A:$A,0)))</f>
        <v>17.041</v>
      </c>
      <c r="K79" s="10" t="n">
        <f aca="false">J79-H79</f>
        <v>3.623</v>
      </c>
      <c r="L79" s="10" t="n">
        <f aca="false">IF(AND(F79=F78,G79=G78),H79-H78,H79)</f>
        <v>4.894</v>
      </c>
      <c r="M79" s="10" t="n">
        <v>-13.418</v>
      </c>
      <c r="N79" s="10" t="n">
        <v>-6.649</v>
      </c>
    </row>
    <row r="80" customFormat="false" ht="15" hidden="false" customHeight="false" outlineLevel="0" collapsed="false">
      <c r="A80" s="9" t="n">
        <v>79</v>
      </c>
      <c r="B80" s="9" t="s">
        <v>161</v>
      </c>
      <c r="C80" s="9" t="s">
        <v>37</v>
      </c>
      <c r="D80" s="9" t="s">
        <v>78</v>
      </c>
      <c r="E80" s="9" t="s">
        <v>45</v>
      </c>
      <c r="F80" s="9" t="s">
        <v>150</v>
      </c>
      <c r="G80" s="9" t="s">
        <v>76</v>
      </c>
      <c r="H80" s="10" t="n">
        <v>14.419</v>
      </c>
      <c r="I80" s="9" t="str">
        <f aca="false">IF(OR(G80="links",G80="gegen UZS"),INDEX(Bezugspunkte!$C:$C,MATCH(F80,Bezugspunkte!$A:$A,0)),INDEX(Bezugspunkte!$E:$E,MATCH(F80,Bezugspunkte!$A:$A,0)))</f>
        <v>Q5-L</v>
      </c>
      <c r="J80" s="10" t="n">
        <f aca="false">IF(OR(G80="links",G80="gegen UZS"),INDEX(Bezugspunkte!$D:$D,MATCH(F80,Bezugspunkte!$A:$A,0)),INDEX(Bezugspunkte!$F:$F,MATCH(F80,Bezugspunkte!$A:$A,0)))</f>
        <v>17.041</v>
      </c>
      <c r="K80" s="10" t="n">
        <f aca="false">J80-H80</f>
        <v>2.622</v>
      </c>
      <c r="L80" s="10" t="n">
        <f aca="false">IF(AND(F80=F79,G80=G79),H80-H79,H80)</f>
        <v>1.001</v>
      </c>
      <c r="M80" s="10" t="n">
        <v>-14.419</v>
      </c>
      <c r="N80" s="10" t="n">
        <v>-6.649</v>
      </c>
    </row>
    <row r="81" customFormat="false" ht="15" hidden="false" customHeight="false" outlineLevel="0" collapsed="false">
      <c r="A81" s="9" t="n">
        <v>80</v>
      </c>
      <c r="B81" s="9" t="s">
        <v>162</v>
      </c>
      <c r="C81" s="9" t="s">
        <v>31</v>
      </c>
      <c r="D81" s="9" t="s">
        <v>89</v>
      </c>
      <c r="E81" s="9" t="s">
        <v>45</v>
      </c>
      <c r="F81" s="9" t="s">
        <v>150</v>
      </c>
      <c r="G81" s="9" t="s">
        <v>76</v>
      </c>
      <c r="H81" s="10" t="n">
        <v>16.816</v>
      </c>
      <c r="I81" s="9" t="str">
        <f aca="false">IF(OR(G81="links",G81="gegen UZS"),INDEX(Bezugspunkte!$C:$C,MATCH(F81,Bezugspunkte!$A:$A,0)),INDEX(Bezugspunkte!$E:$E,MATCH(F81,Bezugspunkte!$A:$A,0)))</f>
        <v>Q5-L</v>
      </c>
      <c r="J81" s="10" t="n">
        <f aca="false">IF(OR(G81="links",G81="gegen UZS"),INDEX(Bezugspunkte!$D:$D,MATCH(F81,Bezugspunkte!$A:$A,0)),INDEX(Bezugspunkte!$F:$F,MATCH(F81,Bezugspunkte!$A:$A,0)))</f>
        <v>17.041</v>
      </c>
      <c r="K81" s="10" t="n">
        <f aca="false">J81-H81</f>
        <v>0.225000000000001</v>
      </c>
      <c r="L81" s="10" t="n">
        <f aca="false">IF(AND(F81=F80,G81=G80),H81-H80,H81)</f>
        <v>2.397</v>
      </c>
      <c r="M81" s="10" t="n">
        <v>-16.816</v>
      </c>
      <c r="N81" s="10" t="n">
        <v>-6.649</v>
      </c>
    </row>
    <row r="82" customFormat="false" ht="15" hidden="false" customHeight="false" outlineLevel="0" collapsed="false">
      <c r="A82" s="9" t="n">
        <v>81</v>
      </c>
      <c r="B82" s="9" t="s">
        <v>163</v>
      </c>
      <c r="C82" s="9" t="s">
        <v>37</v>
      </c>
      <c r="D82" s="9" t="s">
        <v>78</v>
      </c>
      <c r="E82" s="9" t="s">
        <v>45</v>
      </c>
      <c r="F82" s="9" t="s">
        <v>150</v>
      </c>
      <c r="G82" s="9" t="s">
        <v>83</v>
      </c>
      <c r="H82" s="10" t="n">
        <v>0.424</v>
      </c>
      <c r="I82" s="9" t="str">
        <f aca="false">IF(OR(G82="links",G82="gegen UZS"),INDEX(Bezugspunkte!$C:$C,MATCH(F82,Bezugspunkte!$A:$A,0)),INDEX(Bezugspunkte!$E:$E,MATCH(F82,Bezugspunkte!$A:$A,0)))</f>
        <v>Q5-R</v>
      </c>
      <c r="J82" s="10" t="n">
        <f aca="false">IF(OR(G82="links",G82="gegen UZS"),INDEX(Bezugspunkte!$D:$D,MATCH(F82,Bezugspunkte!$A:$A,0)),INDEX(Bezugspunkte!$F:$F,MATCH(F82,Bezugspunkte!$A:$A,0)))</f>
        <v>17.042</v>
      </c>
      <c r="K82" s="10" t="n">
        <f aca="false">J82-H82</f>
        <v>16.618</v>
      </c>
      <c r="L82" s="10" t="n">
        <f aca="false">IF(AND(F82=F81,G82=G81),H82-H81,H82)</f>
        <v>0.424</v>
      </c>
      <c r="M82" s="10" t="n">
        <v>0.424</v>
      </c>
      <c r="N82" s="10" t="n">
        <v>-6.649</v>
      </c>
    </row>
    <row r="83" customFormat="false" ht="15" hidden="false" customHeight="false" outlineLevel="0" collapsed="false">
      <c r="A83" s="9" t="n">
        <v>82</v>
      </c>
      <c r="B83" s="9" t="s">
        <v>164</v>
      </c>
      <c r="C83" s="9" t="s">
        <v>37</v>
      </c>
      <c r="D83" s="9" t="s">
        <v>78</v>
      </c>
      <c r="E83" s="9" t="s">
        <v>45</v>
      </c>
      <c r="F83" s="9" t="s">
        <v>150</v>
      </c>
      <c r="G83" s="9" t="s">
        <v>83</v>
      </c>
      <c r="H83" s="10" t="n">
        <v>0.924</v>
      </c>
      <c r="I83" s="9" t="str">
        <f aca="false">IF(OR(G83="links",G83="gegen UZS"),INDEX(Bezugspunkte!$C:$C,MATCH(F83,Bezugspunkte!$A:$A,0)),INDEX(Bezugspunkte!$E:$E,MATCH(F83,Bezugspunkte!$A:$A,0)))</f>
        <v>Q5-R</v>
      </c>
      <c r="J83" s="10" t="n">
        <f aca="false">IF(OR(G83="links",G83="gegen UZS"),INDEX(Bezugspunkte!$D:$D,MATCH(F83,Bezugspunkte!$A:$A,0)),INDEX(Bezugspunkte!$F:$F,MATCH(F83,Bezugspunkte!$A:$A,0)))</f>
        <v>17.042</v>
      </c>
      <c r="K83" s="10" t="n">
        <f aca="false">J83-H83</f>
        <v>16.118</v>
      </c>
      <c r="L83" s="10" t="n">
        <f aca="false">IF(AND(F83=F82,G83=G82),H83-H82,H83)</f>
        <v>0.5</v>
      </c>
      <c r="M83" s="10" t="n">
        <v>0.924</v>
      </c>
      <c r="N83" s="10" t="n">
        <v>-6.649</v>
      </c>
    </row>
    <row r="84" customFormat="false" ht="15" hidden="false" customHeight="false" outlineLevel="0" collapsed="false">
      <c r="A84" s="9" t="n">
        <v>83</v>
      </c>
      <c r="B84" s="9" t="s">
        <v>165</v>
      </c>
      <c r="C84" s="9" t="s">
        <v>33</v>
      </c>
      <c r="D84" s="9" t="s">
        <v>114</v>
      </c>
      <c r="E84" s="9" t="s">
        <v>45</v>
      </c>
      <c r="F84" s="9" t="s">
        <v>150</v>
      </c>
      <c r="G84" s="9" t="s">
        <v>83</v>
      </c>
      <c r="H84" s="10" t="n">
        <v>1.77</v>
      </c>
      <c r="I84" s="9" t="str">
        <f aca="false">IF(OR(G84="links",G84="gegen UZS"),INDEX(Bezugspunkte!$C:$C,MATCH(F84,Bezugspunkte!$A:$A,0)),INDEX(Bezugspunkte!$E:$E,MATCH(F84,Bezugspunkte!$A:$A,0)))</f>
        <v>Q5-R</v>
      </c>
      <c r="J84" s="10" t="n">
        <f aca="false">IF(OR(G84="links",G84="gegen UZS"),INDEX(Bezugspunkte!$D:$D,MATCH(F84,Bezugspunkte!$A:$A,0)),INDEX(Bezugspunkte!$F:$F,MATCH(F84,Bezugspunkte!$A:$A,0)))</f>
        <v>17.042</v>
      </c>
      <c r="K84" s="10" t="n">
        <f aca="false">J84-H84</f>
        <v>15.272</v>
      </c>
      <c r="L84" s="10" t="n">
        <f aca="false">IF(AND(F84=F83,G84=G83),H84-H83,H84)</f>
        <v>0.846</v>
      </c>
      <c r="M84" s="10" t="n">
        <v>1.77</v>
      </c>
      <c r="N84" s="10" t="n">
        <v>-6.649</v>
      </c>
    </row>
    <row r="85" customFormat="false" ht="15" hidden="false" customHeight="false" outlineLevel="0" collapsed="false">
      <c r="A85" s="9" t="n">
        <v>84</v>
      </c>
      <c r="B85" s="9" t="s">
        <v>166</v>
      </c>
      <c r="C85" s="9" t="s">
        <v>33</v>
      </c>
      <c r="D85" s="9" t="s">
        <v>114</v>
      </c>
      <c r="E85" s="9" t="s">
        <v>45</v>
      </c>
      <c r="F85" s="9" t="s">
        <v>150</v>
      </c>
      <c r="G85" s="9" t="s">
        <v>83</v>
      </c>
      <c r="H85" s="10" t="n">
        <v>2.772</v>
      </c>
      <c r="I85" s="9" t="str">
        <f aca="false">IF(OR(G85="links",G85="gegen UZS"),INDEX(Bezugspunkte!$C:$C,MATCH(F85,Bezugspunkte!$A:$A,0)),INDEX(Bezugspunkte!$E:$E,MATCH(F85,Bezugspunkte!$A:$A,0)))</f>
        <v>Q5-R</v>
      </c>
      <c r="J85" s="10" t="n">
        <f aca="false">IF(OR(G85="links",G85="gegen UZS"),INDEX(Bezugspunkte!$D:$D,MATCH(F85,Bezugspunkte!$A:$A,0)),INDEX(Bezugspunkte!$F:$F,MATCH(F85,Bezugspunkte!$A:$A,0)))</f>
        <v>17.042</v>
      </c>
      <c r="K85" s="10" t="n">
        <f aca="false">J85-H85</f>
        <v>14.27</v>
      </c>
      <c r="L85" s="10" t="n">
        <f aca="false">IF(AND(F85=F84,G85=G84),H85-H84,H85)</f>
        <v>1.002</v>
      </c>
      <c r="M85" s="10" t="n">
        <v>2.772</v>
      </c>
      <c r="N85" s="10" t="n">
        <v>-6.649</v>
      </c>
    </row>
    <row r="86" customFormat="false" ht="15" hidden="false" customHeight="false" outlineLevel="0" collapsed="false">
      <c r="A86" s="9" t="n">
        <v>85</v>
      </c>
      <c r="B86" s="9" t="s">
        <v>167</v>
      </c>
      <c r="C86" s="9" t="s">
        <v>35</v>
      </c>
      <c r="D86" s="9" t="s">
        <v>74</v>
      </c>
      <c r="E86" s="9" t="s">
        <v>45</v>
      </c>
      <c r="F86" s="9" t="s">
        <v>150</v>
      </c>
      <c r="G86" s="9" t="s">
        <v>83</v>
      </c>
      <c r="H86" s="10" t="n">
        <v>3.576</v>
      </c>
      <c r="I86" s="9" t="str">
        <f aca="false">IF(OR(G86="links",G86="gegen UZS"),INDEX(Bezugspunkte!$C:$C,MATCH(F86,Bezugspunkte!$A:$A,0)),INDEX(Bezugspunkte!$E:$E,MATCH(F86,Bezugspunkte!$A:$A,0)))</f>
        <v>Q5-R</v>
      </c>
      <c r="J86" s="10" t="n">
        <f aca="false">IF(OR(G86="links",G86="gegen UZS"),INDEX(Bezugspunkte!$D:$D,MATCH(F86,Bezugspunkte!$A:$A,0)),INDEX(Bezugspunkte!$F:$F,MATCH(F86,Bezugspunkte!$A:$A,0)))</f>
        <v>17.042</v>
      </c>
      <c r="K86" s="10" t="n">
        <f aca="false">J86-H86</f>
        <v>13.466</v>
      </c>
      <c r="L86" s="10" t="n">
        <f aca="false">IF(AND(F86=F85,G86=G85),H86-H85,H86)</f>
        <v>0.804</v>
      </c>
      <c r="M86" s="10" t="n">
        <v>3.576</v>
      </c>
      <c r="N86" s="10" t="n">
        <v>-6.649</v>
      </c>
    </row>
    <row r="87" customFormat="false" ht="15" hidden="false" customHeight="false" outlineLevel="0" collapsed="false">
      <c r="A87" s="9" t="n">
        <v>86</v>
      </c>
      <c r="B87" s="9" t="s">
        <v>168</v>
      </c>
      <c r="C87" s="9" t="s">
        <v>35</v>
      </c>
      <c r="D87" s="9" t="s">
        <v>74</v>
      </c>
      <c r="E87" s="9" t="s">
        <v>45</v>
      </c>
      <c r="F87" s="9" t="s">
        <v>150</v>
      </c>
      <c r="G87" s="9" t="s">
        <v>83</v>
      </c>
      <c r="H87" s="10" t="n">
        <v>4.372</v>
      </c>
      <c r="I87" s="9" t="str">
        <f aca="false">IF(OR(G87="links",G87="gegen UZS"),INDEX(Bezugspunkte!$C:$C,MATCH(F87,Bezugspunkte!$A:$A,0)),INDEX(Bezugspunkte!$E:$E,MATCH(F87,Bezugspunkte!$A:$A,0)))</f>
        <v>Q5-R</v>
      </c>
      <c r="J87" s="10" t="n">
        <f aca="false">IF(OR(G87="links",G87="gegen UZS"),INDEX(Bezugspunkte!$D:$D,MATCH(F87,Bezugspunkte!$A:$A,0)),INDEX(Bezugspunkte!$F:$F,MATCH(F87,Bezugspunkte!$A:$A,0)))</f>
        <v>17.042</v>
      </c>
      <c r="K87" s="10" t="n">
        <f aca="false">J87-H87</f>
        <v>12.67</v>
      </c>
      <c r="L87" s="10" t="n">
        <f aca="false">IF(AND(F87=F86,G87=G86),H87-H86,H87)</f>
        <v>0.796</v>
      </c>
      <c r="M87" s="10" t="n">
        <v>4.372</v>
      </c>
      <c r="N87" s="10" t="n">
        <v>-6.649</v>
      </c>
    </row>
    <row r="88" customFormat="false" ht="15" hidden="false" customHeight="false" outlineLevel="0" collapsed="false">
      <c r="A88" s="9" t="n">
        <v>87</v>
      </c>
      <c r="B88" s="9" t="s">
        <v>169</v>
      </c>
      <c r="C88" s="9" t="s">
        <v>33</v>
      </c>
      <c r="D88" s="9" t="s">
        <v>114</v>
      </c>
      <c r="E88" s="9" t="s">
        <v>45</v>
      </c>
      <c r="F88" s="9" t="s">
        <v>150</v>
      </c>
      <c r="G88" s="9" t="s">
        <v>83</v>
      </c>
      <c r="H88" s="10" t="n">
        <v>5.275</v>
      </c>
      <c r="I88" s="9" t="str">
        <f aca="false">IF(OR(G88="links",G88="gegen UZS"),INDEX(Bezugspunkte!$C:$C,MATCH(F88,Bezugspunkte!$A:$A,0)),INDEX(Bezugspunkte!$E:$E,MATCH(F88,Bezugspunkte!$A:$A,0)))</f>
        <v>Q5-R</v>
      </c>
      <c r="J88" s="10" t="n">
        <f aca="false">IF(OR(G88="links",G88="gegen UZS"),INDEX(Bezugspunkte!$D:$D,MATCH(F88,Bezugspunkte!$A:$A,0)),INDEX(Bezugspunkte!$F:$F,MATCH(F88,Bezugspunkte!$A:$A,0)))</f>
        <v>17.042</v>
      </c>
      <c r="K88" s="10" t="n">
        <f aca="false">J88-H88</f>
        <v>11.767</v>
      </c>
      <c r="L88" s="10" t="n">
        <f aca="false">IF(AND(F88=F87,G88=G87),H88-H87,H88)</f>
        <v>0.903000000000001</v>
      </c>
      <c r="M88" s="10" t="n">
        <v>5.275</v>
      </c>
      <c r="N88" s="10" t="n">
        <v>-6.649</v>
      </c>
    </row>
    <row r="89" customFormat="false" ht="15" hidden="false" customHeight="false" outlineLevel="0" collapsed="false">
      <c r="A89" s="9" t="n">
        <v>88</v>
      </c>
      <c r="B89" s="9" t="s">
        <v>170</v>
      </c>
      <c r="C89" s="9" t="s">
        <v>33</v>
      </c>
      <c r="D89" s="9" t="s">
        <v>114</v>
      </c>
      <c r="E89" s="9" t="s">
        <v>45</v>
      </c>
      <c r="F89" s="9" t="s">
        <v>150</v>
      </c>
      <c r="G89" s="9" t="s">
        <v>83</v>
      </c>
      <c r="H89" s="10" t="n">
        <v>6.269</v>
      </c>
      <c r="I89" s="9" t="str">
        <f aca="false">IF(OR(G89="links",G89="gegen UZS"),INDEX(Bezugspunkte!$C:$C,MATCH(F89,Bezugspunkte!$A:$A,0)),INDEX(Bezugspunkte!$E:$E,MATCH(F89,Bezugspunkte!$A:$A,0)))</f>
        <v>Q5-R</v>
      </c>
      <c r="J89" s="10" t="n">
        <f aca="false">IF(OR(G89="links",G89="gegen UZS"),INDEX(Bezugspunkte!$D:$D,MATCH(F89,Bezugspunkte!$A:$A,0)),INDEX(Bezugspunkte!$F:$F,MATCH(F89,Bezugspunkte!$A:$A,0)))</f>
        <v>17.042</v>
      </c>
      <c r="K89" s="10" t="n">
        <f aca="false">J89-H89</f>
        <v>10.773</v>
      </c>
      <c r="L89" s="10" t="n">
        <f aca="false">IF(AND(F89=F88,G89=G88),H89-H88,H89)</f>
        <v>0.994</v>
      </c>
      <c r="M89" s="10" t="n">
        <v>6.269</v>
      </c>
      <c r="N89" s="10" t="n">
        <v>-6.649</v>
      </c>
    </row>
    <row r="90" customFormat="false" ht="15" hidden="false" customHeight="false" outlineLevel="0" collapsed="false">
      <c r="A90" s="9" t="n">
        <v>89</v>
      </c>
      <c r="B90" s="9" t="s">
        <v>171</v>
      </c>
      <c r="C90" s="9" t="s">
        <v>37</v>
      </c>
      <c r="D90" s="9" t="s">
        <v>78</v>
      </c>
      <c r="E90" s="9" t="s">
        <v>45</v>
      </c>
      <c r="F90" s="9" t="s">
        <v>150</v>
      </c>
      <c r="G90" s="9" t="s">
        <v>83</v>
      </c>
      <c r="H90" s="10" t="n">
        <v>7.566</v>
      </c>
      <c r="I90" s="9" t="str">
        <f aca="false">IF(OR(G90="links",G90="gegen UZS"),INDEX(Bezugspunkte!$C:$C,MATCH(F90,Bezugspunkte!$A:$A,0)),INDEX(Bezugspunkte!$E:$E,MATCH(F90,Bezugspunkte!$A:$A,0)))</f>
        <v>Q5-R</v>
      </c>
      <c r="J90" s="10" t="n">
        <f aca="false">IF(OR(G90="links",G90="gegen UZS"),INDEX(Bezugspunkte!$D:$D,MATCH(F90,Bezugspunkte!$A:$A,0)),INDEX(Bezugspunkte!$F:$F,MATCH(F90,Bezugspunkte!$A:$A,0)))</f>
        <v>17.042</v>
      </c>
      <c r="K90" s="10" t="n">
        <f aca="false">J90-H90</f>
        <v>9.476</v>
      </c>
      <c r="L90" s="10" t="n">
        <f aca="false">IF(AND(F90=F89,G90=G89),H90-H89,H90)</f>
        <v>1.297</v>
      </c>
      <c r="M90" s="10" t="n">
        <v>7.566</v>
      </c>
      <c r="N90" s="10" t="n">
        <v>-6.649</v>
      </c>
    </row>
    <row r="91" customFormat="false" ht="15" hidden="false" customHeight="false" outlineLevel="0" collapsed="false">
      <c r="A91" s="9" t="n">
        <v>90</v>
      </c>
      <c r="B91" s="9" t="s">
        <v>172</v>
      </c>
      <c r="C91" s="9" t="s">
        <v>37</v>
      </c>
      <c r="D91" s="9" t="s">
        <v>78</v>
      </c>
      <c r="E91" s="9" t="s">
        <v>45</v>
      </c>
      <c r="F91" s="9" t="s">
        <v>150</v>
      </c>
      <c r="G91" s="9" t="s">
        <v>83</v>
      </c>
      <c r="H91" s="10" t="n">
        <v>8.568</v>
      </c>
      <c r="I91" s="9" t="str">
        <f aca="false">IF(OR(G91="links",G91="gegen UZS"),INDEX(Bezugspunkte!$C:$C,MATCH(F91,Bezugspunkte!$A:$A,0)),INDEX(Bezugspunkte!$E:$E,MATCH(F91,Bezugspunkte!$A:$A,0)))</f>
        <v>Q5-R</v>
      </c>
      <c r="J91" s="10" t="n">
        <f aca="false">IF(OR(G91="links",G91="gegen UZS"),INDEX(Bezugspunkte!$D:$D,MATCH(F91,Bezugspunkte!$A:$A,0)),INDEX(Bezugspunkte!$F:$F,MATCH(F91,Bezugspunkte!$A:$A,0)))</f>
        <v>17.042</v>
      </c>
      <c r="K91" s="10" t="n">
        <f aca="false">J91-H91</f>
        <v>8.474</v>
      </c>
      <c r="L91" s="10" t="n">
        <f aca="false">IF(AND(F91=F90,G91=G90),H91-H90,H91)</f>
        <v>1.002</v>
      </c>
      <c r="M91" s="10" t="n">
        <v>8.568</v>
      </c>
      <c r="N91" s="10" t="n">
        <v>-6.649</v>
      </c>
    </row>
    <row r="92" customFormat="false" ht="15" hidden="false" customHeight="false" outlineLevel="0" collapsed="false">
      <c r="A92" s="9" t="n">
        <v>91</v>
      </c>
      <c r="B92" s="9" t="s">
        <v>173</v>
      </c>
      <c r="C92" s="9" t="s">
        <v>37</v>
      </c>
      <c r="D92" s="9" t="s">
        <v>78</v>
      </c>
      <c r="E92" s="9" t="s">
        <v>45</v>
      </c>
      <c r="F92" s="9" t="s">
        <v>150</v>
      </c>
      <c r="G92" s="9" t="s">
        <v>83</v>
      </c>
      <c r="H92" s="10" t="n">
        <v>13.264</v>
      </c>
      <c r="I92" s="9" t="str">
        <f aca="false">IF(OR(G92="links",G92="gegen UZS"),INDEX(Bezugspunkte!$C:$C,MATCH(F92,Bezugspunkte!$A:$A,0)),INDEX(Bezugspunkte!$E:$E,MATCH(F92,Bezugspunkte!$A:$A,0)))</f>
        <v>Q5-R</v>
      </c>
      <c r="J92" s="10" t="n">
        <f aca="false">IF(OR(G92="links",G92="gegen UZS"),INDEX(Bezugspunkte!$D:$D,MATCH(F92,Bezugspunkte!$A:$A,0)),INDEX(Bezugspunkte!$F:$F,MATCH(F92,Bezugspunkte!$A:$A,0)))</f>
        <v>17.042</v>
      </c>
      <c r="K92" s="10" t="n">
        <f aca="false">J92-H92</f>
        <v>3.778</v>
      </c>
      <c r="L92" s="10" t="n">
        <f aca="false">IF(AND(F92=F91,G92=G91),H92-H91,H92)</f>
        <v>4.696</v>
      </c>
      <c r="M92" s="10" t="n">
        <v>13.264</v>
      </c>
      <c r="N92" s="10" t="n">
        <v>-6.649</v>
      </c>
    </row>
    <row r="93" customFormat="false" ht="15" hidden="false" customHeight="false" outlineLevel="0" collapsed="false">
      <c r="A93" s="9" t="n">
        <v>92</v>
      </c>
      <c r="B93" s="9" t="s">
        <v>174</v>
      </c>
      <c r="C93" s="9" t="s">
        <v>37</v>
      </c>
      <c r="D93" s="9" t="s">
        <v>78</v>
      </c>
      <c r="E93" s="9" t="s">
        <v>45</v>
      </c>
      <c r="F93" s="9" t="s">
        <v>150</v>
      </c>
      <c r="G93" s="9" t="s">
        <v>83</v>
      </c>
      <c r="H93" s="10" t="n">
        <v>14.265</v>
      </c>
      <c r="I93" s="9" t="str">
        <f aca="false">IF(OR(G93="links",G93="gegen UZS"),INDEX(Bezugspunkte!$C:$C,MATCH(F93,Bezugspunkte!$A:$A,0)),INDEX(Bezugspunkte!$E:$E,MATCH(F93,Bezugspunkte!$A:$A,0)))</f>
        <v>Q5-R</v>
      </c>
      <c r="J93" s="10" t="n">
        <f aca="false">IF(OR(G93="links",G93="gegen UZS"),INDEX(Bezugspunkte!$D:$D,MATCH(F93,Bezugspunkte!$A:$A,0)),INDEX(Bezugspunkte!$F:$F,MATCH(F93,Bezugspunkte!$A:$A,0)))</f>
        <v>17.042</v>
      </c>
      <c r="K93" s="10" t="n">
        <f aca="false">J93-H93</f>
        <v>2.777</v>
      </c>
      <c r="L93" s="10" t="n">
        <f aca="false">IF(AND(F93=F92,G93=G92),H93-H92,H93)</f>
        <v>1.001</v>
      </c>
      <c r="M93" s="10" t="n">
        <v>14.265</v>
      </c>
      <c r="N93" s="10" t="n">
        <v>-6.649</v>
      </c>
    </row>
    <row r="94" customFormat="false" ht="15" hidden="false" customHeight="false" outlineLevel="0" collapsed="false">
      <c r="A94" s="9" t="n">
        <v>93</v>
      </c>
      <c r="B94" s="9" t="s">
        <v>175</v>
      </c>
      <c r="C94" s="9" t="s">
        <v>31</v>
      </c>
      <c r="D94" s="9" t="s">
        <v>89</v>
      </c>
      <c r="E94" s="9" t="s">
        <v>46</v>
      </c>
      <c r="F94" s="9" t="s">
        <v>176</v>
      </c>
      <c r="G94" s="9" t="s">
        <v>76</v>
      </c>
      <c r="H94" s="10" t="n">
        <v>0.66</v>
      </c>
      <c r="I94" s="9" t="str">
        <f aca="false">IF(OR(G94="links",G94="gegen UZS"),INDEX(Bezugspunkte!$C:$C,MATCH(F94,Bezugspunkte!$A:$A,0)),INDEX(Bezugspunkte!$E:$E,MATCH(F94,Bezugspunkte!$A:$A,0)))</f>
        <v>KI15</v>
      </c>
      <c r="J94" s="10" t="n">
        <f aca="false">IF(OR(G94="links",G94="gegen UZS"),INDEX(Bezugspunkte!$D:$D,MATCH(F94,Bezugspunkte!$A:$A,0)),INDEX(Bezugspunkte!$F:$F,MATCH(F94,Bezugspunkte!$A:$A,0)))</f>
        <v>17.048</v>
      </c>
      <c r="K94" s="10" t="n">
        <f aca="false">J94-H94</f>
        <v>16.388</v>
      </c>
      <c r="L94" s="10" t="n">
        <f aca="false">IF(AND(F94=F93,G94=G93),H94-H93,H94)</f>
        <v>0.66</v>
      </c>
      <c r="M94" s="10" t="n">
        <v>-0.627</v>
      </c>
      <c r="N94" s="10" t="n">
        <v>-21.989</v>
      </c>
    </row>
    <row r="95" customFormat="false" ht="15" hidden="false" customHeight="false" outlineLevel="0" collapsed="false">
      <c r="A95" s="9" t="n">
        <v>94</v>
      </c>
      <c r="B95" s="9" t="s">
        <v>177</v>
      </c>
      <c r="C95" s="9" t="s">
        <v>35</v>
      </c>
      <c r="D95" s="9" t="s">
        <v>74</v>
      </c>
      <c r="E95" s="9" t="s">
        <v>46</v>
      </c>
      <c r="F95" s="9" t="s">
        <v>176</v>
      </c>
      <c r="G95" s="9" t="s">
        <v>76</v>
      </c>
      <c r="H95" s="10" t="n">
        <v>2.86</v>
      </c>
      <c r="I95" s="9" t="str">
        <f aca="false">IF(OR(G95="links",G95="gegen UZS"),INDEX(Bezugspunkte!$C:$C,MATCH(F95,Bezugspunkte!$A:$A,0)),INDEX(Bezugspunkte!$E:$E,MATCH(F95,Bezugspunkte!$A:$A,0)))</f>
        <v>KI15</v>
      </c>
      <c r="J95" s="10" t="n">
        <f aca="false">IF(OR(G95="links",G95="gegen UZS"),INDEX(Bezugspunkte!$D:$D,MATCH(F95,Bezugspunkte!$A:$A,0)),INDEX(Bezugspunkte!$F:$F,MATCH(F95,Bezugspunkte!$A:$A,0)))</f>
        <v>17.048</v>
      </c>
      <c r="K95" s="10" t="n">
        <f aca="false">J95-H95</f>
        <v>14.188</v>
      </c>
      <c r="L95" s="10" t="n">
        <f aca="false">IF(AND(F95=F94,G95=G94),H95-H94,H95)</f>
        <v>2.2</v>
      </c>
      <c r="M95" s="10" t="n">
        <v>-2.827</v>
      </c>
      <c r="N95" s="10" t="n">
        <v>-21.989</v>
      </c>
    </row>
    <row r="96" customFormat="false" ht="15" hidden="false" customHeight="false" outlineLevel="0" collapsed="false">
      <c r="A96" s="9" t="n">
        <v>95</v>
      </c>
      <c r="B96" s="9" t="s">
        <v>178</v>
      </c>
      <c r="C96" s="9" t="s">
        <v>31</v>
      </c>
      <c r="D96" s="9" t="s">
        <v>89</v>
      </c>
      <c r="E96" s="9" t="s">
        <v>46</v>
      </c>
      <c r="F96" s="9" t="s">
        <v>176</v>
      </c>
      <c r="G96" s="9" t="s">
        <v>76</v>
      </c>
      <c r="H96" s="10" t="n">
        <v>3.854</v>
      </c>
      <c r="I96" s="9" t="str">
        <f aca="false">IF(OR(G96="links",G96="gegen UZS"),INDEX(Bezugspunkte!$C:$C,MATCH(F96,Bezugspunkte!$A:$A,0)),INDEX(Bezugspunkte!$E:$E,MATCH(F96,Bezugspunkte!$A:$A,0)))</f>
        <v>KI15</v>
      </c>
      <c r="J96" s="10" t="n">
        <f aca="false">IF(OR(G96="links",G96="gegen UZS"),INDEX(Bezugspunkte!$D:$D,MATCH(F96,Bezugspunkte!$A:$A,0)),INDEX(Bezugspunkte!$F:$F,MATCH(F96,Bezugspunkte!$A:$A,0)))</f>
        <v>17.048</v>
      </c>
      <c r="K96" s="10" t="n">
        <f aca="false">J96-H96</f>
        <v>13.194</v>
      </c>
      <c r="L96" s="10" t="n">
        <f aca="false">IF(AND(F96=F95,G96=G95),H96-H95,H96)</f>
        <v>0.994</v>
      </c>
      <c r="M96" s="10" t="n">
        <v>-3.821</v>
      </c>
      <c r="N96" s="10" t="n">
        <v>-21.989</v>
      </c>
    </row>
    <row r="97" customFormat="false" ht="15" hidden="false" customHeight="false" outlineLevel="0" collapsed="false">
      <c r="A97" s="9" t="n">
        <v>96</v>
      </c>
      <c r="B97" s="9" t="s">
        <v>179</v>
      </c>
      <c r="C97" s="9" t="s">
        <v>35</v>
      </c>
      <c r="D97" s="9" t="s">
        <v>74</v>
      </c>
      <c r="E97" s="9" t="s">
        <v>46</v>
      </c>
      <c r="F97" s="9" t="s">
        <v>176</v>
      </c>
      <c r="G97" s="9" t="s">
        <v>76</v>
      </c>
      <c r="H97" s="10" t="n">
        <v>5.857</v>
      </c>
      <c r="I97" s="9" t="str">
        <f aca="false">IF(OR(G97="links",G97="gegen UZS"),INDEX(Bezugspunkte!$C:$C,MATCH(F97,Bezugspunkte!$A:$A,0)),INDEX(Bezugspunkte!$E:$E,MATCH(F97,Bezugspunkte!$A:$A,0)))</f>
        <v>KI15</v>
      </c>
      <c r="J97" s="10" t="n">
        <f aca="false">IF(OR(G97="links",G97="gegen UZS"),INDEX(Bezugspunkte!$D:$D,MATCH(F97,Bezugspunkte!$A:$A,0)),INDEX(Bezugspunkte!$F:$F,MATCH(F97,Bezugspunkte!$A:$A,0)))</f>
        <v>17.048</v>
      </c>
      <c r="K97" s="10" t="n">
        <f aca="false">J97-H97</f>
        <v>11.191</v>
      </c>
      <c r="L97" s="10" t="n">
        <f aca="false">IF(AND(F97=F96,G97=G96),H97-H96,H97)</f>
        <v>2.003</v>
      </c>
      <c r="M97" s="10" t="n">
        <v>-5.824</v>
      </c>
      <c r="N97" s="10" t="n">
        <v>-21.989</v>
      </c>
    </row>
    <row r="98" customFormat="false" ht="15" hidden="false" customHeight="false" outlineLevel="0" collapsed="false">
      <c r="A98" s="9" t="n">
        <v>97</v>
      </c>
      <c r="B98" s="9" t="s">
        <v>180</v>
      </c>
      <c r="C98" s="9" t="s">
        <v>31</v>
      </c>
      <c r="D98" s="9" t="s">
        <v>89</v>
      </c>
      <c r="E98" s="9" t="s">
        <v>46</v>
      </c>
      <c r="F98" s="9" t="s">
        <v>176</v>
      </c>
      <c r="G98" s="9" t="s">
        <v>76</v>
      </c>
      <c r="H98" s="10" t="n">
        <v>9.15</v>
      </c>
      <c r="I98" s="9" t="str">
        <f aca="false">IF(OR(G98="links",G98="gegen UZS"),INDEX(Bezugspunkte!$C:$C,MATCH(F98,Bezugspunkte!$A:$A,0)),INDEX(Bezugspunkte!$E:$E,MATCH(F98,Bezugspunkte!$A:$A,0)))</f>
        <v>KI15</v>
      </c>
      <c r="J98" s="10" t="n">
        <f aca="false">IF(OR(G98="links",G98="gegen UZS"),INDEX(Bezugspunkte!$D:$D,MATCH(F98,Bezugspunkte!$A:$A,0)),INDEX(Bezugspunkte!$F:$F,MATCH(F98,Bezugspunkte!$A:$A,0)))</f>
        <v>17.048</v>
      </c>
      <c r="K98" s="10" t="n">
        <f aca="false">J98-H98</f>
        <v>7.898</v>
      </c>
      <c r="L98" s="10" t="n">
        <f aca="false">IF(AND(F98=F97,G98=G97),H98-H97,H98)</f>
        <v>3.293</v>
      </c>
      <c r="M98" s="10" t="n">
        <v>-9.116</v>
      </c>
      <c r="N98" s="10" t="n">
        <v>-21.989</v>
      </c>
    </row>
    <row r="99" customFormat="false" ht="15" hidden="false" customHeight="false" outlineLevel="0" collapsed="false">
      <c r="A99" s="9" t="n">
        <v>98</v>
      </c>
      <c r="B99" s="9" t="s">
        <v>181</v>
      </c>
      <c r="C99" s="9" t="s">
        <v>35</v>
      </c>
      <c r="D99" s="9" t="s">
        <v>74</v>
      </c>
      <c r="E99" s="9" t="s">
        <v>46</v>
      </c>
      <c r="F99" s="9" t="s">
        <v>176</v>
      </c>
      <c r="G99" s="9" t="s">
        <v>76</v>
      </c>
      <c r="H99" s="10" t="n">
        <v>10.355</v>
      </c>
      <c r="I99" s="9" t="str">
        <f aca="false">IF(OR(G99="links",G99="gegen UZS"),INDEX(Bezugspunkte!$C:$C,MATCH(F99,Bezugspunkte!$A:$A,0)),INDEX(Bezugspunkte!$E:$E,MATCH(F99,Bezugspunkte!$A:$A,0)))</f>
        <v>KI15</v>
      </c>
      <c r="J99" s="10" t="n">
        <f aca="false">IF(OR(G99="links",G99="gegen UZS"),INDEX(Bezugspunkte!$D:$D,MATCH(F99,Bezugspunkte!$A:$A,0)),INDEX(Bezugspunkte!$F:$F,MATCH(F99,Bezugspunkte!$A:$A,0)))</f>
        <v>17.048</v>
      </c>
      <c r="K99" s="10" t="n">
        <f aca="false">J99-H99</f>
        <v>6.693</v>
      </c>
      <c r="L99" s="10" t="n">
        <f aca="false">IF(AND(F99=F98,G99=G98),H99-H98,H99)</f>
        <v>1.205</v>
      </c>
      <c r="M99" s="10" t="n">
        <v>-10.322</v>
      </c>
      <c r="N99" s="10" t="n">
        <v>-21.989</v>
      </c>
    </row>
    <row r="100" customFormat="false" ht="15" hidden="false" customHeight="false" outlineLevel="0" collapsed="false">
      <c r="A100" s="9" t="n">
        <v>99</v>
      </c>
      <c r="B100" s="9" t="s">
        <v>182</v>
      </c>
      <c r="C100" s="9" t="s">
        <v>35</v>
      </c>
      <c r="D100" s="9" t="s">
        <v>74</v>
      </c>
      <c r="E100" s="9" t="s">
        <v>46</v>
      </c>
      <c r="F100" s="9" t="s">
        <v>176</v>
      </c>
      <c r="G100" s="9" t="s">
        <v>76</v>
      </c>
      <c r="H100" s="10" t="n">
        <v>11.349</v>
      </c>
      <c r="I100" s="9" t="str">
        <f aca="false">IF(OR(G100="links",G100="gegen UZS"),INDEX(Bezugspunkte!$C:$C,MATCH(F100,Bezugspunkte!$A:$A,0)),INDEX(Bezugspunkte!$E:$E,MATCH(F100,Bezugspunkte!$A:$A,0)))</f>
        <v>KI15</v>
      </c>
      <c r="J100" s="10" t="n">
        <f aca="false">IF(OR(G100="links",G100="gegen UZS"),INDEX(Bezugspunkte!$D:$D,MATCH(F100,Bezugspunkte!$A:$A,0)),INDEX(Bezugspunkte!$F:$F,MATCH(F100,Bezugspunkte!$A:$A,0)))</f>
        <v>17.048</v>
      </c>
      <c r="K100" s="10" t="n">
        <f aca="false">J100-H100</f>
        <v>5.699</v>
      </c>
      <c r="L100" s="10" t="n">
        <f aca="false">IF(AND(F100=F99,G100=G99),H100-H99,H100)</f>
        <v>0.994</v>
      </c>
      <c r="M100" s="10" t="n">
        <v>-11.316</v>
      </c>
      <c r="N100" s="10" t="n">
        <v>-21.989</v>
      </c>
    </row>
    <row r="101" customFormat="false" ht="15" hidden="false" customHeight="false" outlineLevel="0" collapsed="false">
      <c r="A101" s="9" t="n">
        <v>100</v>
      </c>
      <c r="B101" s="9" t="s">
        <v>183</v>
      </c>
      <c r="C101" s="9" t="s">
        <v>31</v>
      </c>
      <c r="D101" s="9" t="s">
        <v>89</v>
      </c>
      <c r="E101" s="9" t="s">
        <v>46</v>
      </c>
      <c r="F101" s="9" t="s">
        <v>176</v>
      </c>
      <c r="G101" s="9" t="s">
        <v>76</v>
      </c>
      <c r="H101" s="10" t="n">
        <v>13.148</v>
      </c>
      <c r="I101" s="9" t="str">
        <f aca="false">IF(OR(G101="links",G101="gegen UZS"),INDEX(Bezugspunkte!$C:$C,MATCH(F101,Bezugspunkte!$A:$A,0)),INDEX(Bezugspunkte!$E:$E,MATCH(F101,Bezugspunkte!$A:$A,0)))</f>
        <v>KI15</v>
      </c>
      <c r="J101" s="10" t="n">
        <f aca="false">IF(OR(G101="links",G101="gegen UZS"),INDEX(Bezugspunkte!$D:$D,MATCH(F101,Bezugspunkte!$A:$A,0)),INDEX(Bezugspunkte!$F:$F,MATCH(F101,Bezugspunkte!$A:$A,0)))</f>
        <v>17.048</v>
      </c>
      <c r="K101" s="10" t="n">
        <f aca="false">J101-H101</f>
        <v>3.9</v>
      </c>
      <c r="L101" s="10" t="n">
        <f aca="false">IF(AND(F101=F100,G101=G100),H101-H100,H101)</f>
        <v>1.799</v>
      </c>
      <c r="M101" s="10" t="n">
        <v>-13.114</v>
      </c>
      <c r="N101" s="10" t="n">
        <v>-21.989</v>
      </c>
    </row>
    <row r="102" customFormat="false" ht="15" hidden="false" customHeight="false" outlineLevel="0" collapsed="false">
      <c r="A102" s="9" t="n">
        <v>101</v>
      </c>
      <c r="B102" s="9" t="s">
        <v>184</v>
      </c>
      <c r="C102" s="9" t="s">
        <v>37</v>
      </c>
      <c r="D102" s="9" t="s">
        <v>78</v>
      </c>
      <c r="E102" s="9" t="s">
        <v>46</v>
      </c>
      <c r="F102" s="9" t="s">
        <v>176</v>
      </c>
      <c r="G102" s="9" t="s">
        <v>76</v>
      </c>
      <c r="H102" s="10" t="n">
        <v>14.149</v>
      </c>
      <c r="I102" s="9" t="str">
        <f aca="false">IF(OR(G102="links",G102="gegen UZS"),INDEX(Bezugspunkte!$C:$C,MATCH(F102,Bezugspunkte!$A:$A,0)),INDEX(Bezugspunkte!$E:$E,MATCH(F102,Bezugspunkte!$A:$A,0)))</f>
        <v>KI15</v>
      </c>
      <c r="J102" s="10" t="n">
        <f aca="false">IF(OR(G102="links",G102="gegen UZS"),INDEX(Bezugspunkte!$D:$D,MATCH(F102,Bezugspunkte!$A:$A,0)),INDEX(Bezugspunkte!$F:$F,MATCH(F102,Bezugspunkte!$A:$A,0)))</f>
        <v>17.048</v>
      </c>
      <c r="K102" s="10" t="n">
        <f aca="false">J102-H102</f>
        <v>2.899</v>
      </c>
      <c r="L102" s="10" t="n">
        <f aca="false">IF(AND(F102=F101,G102=G101),H102-H101,H102)</f>
        <v>1.001</v>
      </c>
      <c r="M102" s="10" t="n">
        <v>-14.116</v>
      </c>
      <c r="N102" s="10" t="n">
        <v>-21.989</v>
      </c>
    </row>
    <row r="103" customFormat="false" ht="15" hidden="false" customHeight="false" outlineLevel="0" collapsed="false">
      <c r="A103" s="9" t="n">
        <v>102</v>
      </c>
      <c r="B103" s="9" t="s">
        <v>185</v>
      </c>
      <c r="C103" s="9" t="s">
        <v>31</v>
      </c>
      <c r="D103" s="9" t="s">
        <v>89</v>
      </c>
      <c r="E103" s="9" t="s">
        <v>46</v>
      </c>
      <c r="F103" s="9" t="s">
        <v>176</v>
      </c>
      <c r="G103" s="9" t="s">
        <v>76</v>
      </c>
      <c r="H103" s="10" t="n">
        <v>16.151</v>
      </c>
      <c r="I103" s="9" t="str">
        <f aca="false">IF(OR(G103="links",G103="gegen UZS"),INDEX(Bezugspunkte!$C:$C,MATCH(F103,Bezugspunkte!$A:$A,0)),INDEX(Bezugspunkte!$E:$E,MATCH(F103,Bezugspunkte!$A:$A,0)))</f>
        <v>KI15</v>
      </c>
      <c r="J103" s="10" t="n">
        <f aca="false">IF(OR(G103="links",G103="gegen UZS"),INDEX(Bezugspunkte!$D:$D,MATCH(F103,Bezugspunkte!$A:$A,0)),INDEX(Bezugspunkte!$F:$F,MATCH(F103,Bezugspunkte!$A:$A,0)))</f>
        <v>17.048</v>
      </c>
      <c r="K103" s="10" t="n">
        <f aca="false">J103-H103</f>
        <v>0.896999999999999</v>
      </c>
      <c r="L103" s="10" t="n">
        <f aca="false">IF(AND(F103=F102,G103=G102),H103-H102,H103)</f>
        <v>2.002</v>
      </c>
      <c r="M103" s="10" t="n">
        <v>-16.118</v>
      </c>
      <c r="N103" s="10" t="n">
        <v>-21.989</v>
      </c>
    </row>
    <row r="104" customFormat="false" ht="15" hidden="false" customHeight="false" outlineLevel="0" collapsed="false">
      <c r="A104" s="9" t="n">
        <v>103</v>
      </c>
      <c r="B104" s="9" t="s">
        <v>186</v>
      </c>
      <c r="C104" s="9" t="s">
        <v>31</v>
      </c>
      <c r="D104" s="9" t="s">
        <v>89</v>
      </c>
      <c r="E104" s="9" t="s">
        <v>46</v>
      </c>
      <c r="F104" s="9" t="s">
        <v>176</v>
      </c>
      <c r="G104" s="9" t="s">
        <v>83</v>
      </c>
      <c r="H104" s="10" t="n">
        <v>0.644</v>
      </c>
      <c r="I104" s="9" t="str">
        <f aca="false">IF(OR(G104="links",G104="gegen UZS"),INDEX(Bezugspunkte!$C:$C,MATCH(F104,Bezugspunkte!$A:$A,0)),INDEX(Bezugspunkte!$E:$E,MATCH(F104,Bezugspunkte!$A:$A,0)))</f>
        <v>KI06</v>
      </c>
      <c r="J104" s="10" t="n">
        <f aca="false">IF(OR(G104="links",G104="gegen UZS"),INDEX(Bezugspunkte!$D:$D,MATCH(F104,Bezugspunkte!$A:$A,0)),INDEX(Bezugspunkte!$F:$F,MATCH(F104,Bezugspunkte!$A:$A,0)))</f>
        <v>17.042</v>
      </c>
      <c r="K104" s="10" t="n">
        <f aca="false">J104-H104</f>
        <v>16.398</v>
      </c>
      <c r="L104" s="10" t="n">
        <f aca="false">IF(AND(F104=F103,G104=G103),H104-H103,H104)</f>
        <v>0.644</v>
      </c>
      <c r="M104" s="10" t="n">
        <v>0.678</v>
      </c>
      <c r="N104" s="10" t="n">
        <v>-21.989</v>
      </c>
    </row>
    <row r="105" customFormat="false" ht="15" hidden="false" customHeight="false" outlineLevel="0" collapsed="false">
      <c r="A105" s="9" t="n">
        <v>104</v>
      </c>
      <c r="B105" s="9" t="s">
        <v>187</v>
      </c>
      <c r="C105" s="9" t="s">
        <v>35</v>
      </c>
      <c r="D105" s="9" t="s">
        <v>74</v>
      </c>
      <c r="E105" s="9" t="s">
        <v>46</v>
      </c>
      <c r="F105" s="9" t="s">
        <v>176</v>
      </c>
      <c r="G105" s="9" t="s">
        <v>83</v>
      </c>
      <c r="H105" s="10" t="n">
        <v>2.837</v>
      </c>
      <c r="I105" s="9" t="str">
        <f aca="false">IF(OR(G105="links",G105="gegen UZS"),INDEX(Bezugspunkte!$C:$C,MATCH(F105,Bezugspunkte!$A:$A,0)),INDEX(Bezugspunkte!$E:$E,MATCH(F105,Bezugspunkte!$A:$A,0)))</f>
        <v>KI06</v>
      </c>
      <c r="J105" s="10" t="n">
        <f aca="false">IF(OR(G105="links",G105="gegen UZS"),INDEX(Bezugspunkte!$D:$D,MATCH(F105,Bezugspunkte!$A:$A,0)),INDEX(Bezugspunkte!$F:$F,MATCH(F105,Bezugspunkte!$A:$A,0)))</f>
        <v>17.042</v>
      </c>
      <c r="K105" s="10" t="n">
        <f aca="false">J105-H105</f>
        <v>14.205</v>
      </c>
      <c r="L105" s="10" t="n">
        <f aca="false">IF(AND(F105=F104,G105=G104),H105-H104,H105)</f>
        <v>2.193</v>
      </c>
      <c r="M105" s="10" t="n">
        <v>2.87</v>
      </c>
      <c r="N105" s="10" t="n">
        <v>-21.989</v>
      </c>
    </row>
    <row r="106" customFormat="false" ht="15" hidden="false" customHeight="false" outlineLevel="0" collapsed="false">
      <c r="A106" s="9" t="n">
        <v>105</v>
      </c>
      <c r="B106" s="9" t="s">
        <v>188</v>
      </c>
      <c r="C106" s="9" t="s">
        <v>31</v>
      </c>
      <c r="D106" s="9" t="s">
        <v>89</v>
      </c>
      <c r="E106" s="9" t="s">
        <v>46</v>
      </c>
      <c r="F106" s="9" t="s">
        <v>176</v>
      </c>
      <c r="G106" s="9" t="s">
        <v>83</v>
      </c>
      <c r="H106" s="10" t="n">
        <v>3.839</v>
      </c>
      <c r="I106" s="9" t="str">
        <f aca="false">IF(OR(G106="links",G106="gegen UZS"),INDEX(Bezugspunkte!$C:$C,MATCH(F106,Bezugspunkte!$A:$A,0)),INDEX(Bezugspunkte!$E:$E,MATCH(F106,Bezugspunkte!$A:$A,0)))</f>
        <v>KI06</v>
      </c>
      <c r="J106" s="10" t="n">
        <f aca="false">IF(OR(G106="links",G106="gegen UZS"),INDEX(Bezugspunkte!$D:$D,MATCH(F106,Bezugspunkte!$A:$A,0)),INDEX(Bezugspunkte!$F:$F,MATCH(F106,Bezugspunkte!$A:$A,0)))</f>
        <v>17.042</v>
      </c>
      <c r="K106" s="10" t="n">
        <f aca="false">J106-H106</f>
        <v>13.203</v>
      </c>
      <c r="L106" s="10" t="n">
        <f aca="false">IF(AND(F106=F105,G106=G105),H106-H105,H106)</f>
        <v>1.002</v>
      </c>
      <c r="M106" s="10" t="n">
        <v>3.872</v>
      </c>
      <c r="N106" s="10" t="n">
        <v>-21.989</v>
      </c>
    </row>
    <row r="107" customFormat="false" ht="15" hidden="false" customHeight="false" outlineLevel="0" collapsed="false">
      <c r="A107" s="9" t="n">
        <v>106</v>
      </c>
      <c r="B107" s="9" t="s">
        <v>189</v>
      </c>
      <c r="C107" s="9" t="s">
        <v>35</v>
      </c>
      <c r="D107" s="9" t="s">
        <v>74</v>
      </c>
      <c r="E107" s="9" t="s">
        <v>46</v>
      </c>
      <c r="F107" s="9" t="s">
        <v>176</v>
      </c>
      <c r="G107" s="9" t="s">
        <v>83</v>
      </c>
      <c r="H107" s="10" t="n">
        <v>5.834</v>
      </c>
      <c r="I107" s="9" t="str">
        <f aca="false">IF(OR(G107="links",G107="gegen UZS"),INDEX(Bezugspunkte!$C:$C,MATCH(F107,Bezugspunkte!$A:$A,0)),INDEX(Bezugspunkte!$E:$E,MATCH(F107,Bezugspunkte!$A:$A,0)))</f>
        <v>KI06</v>
      </c>
      <c r="J107" s="10" t="n">
        <f aca="false">IF(OR(G107="links",G107="gegen UZS"),INDEX(Bezugspunkte!$D:$D,MATCH(F107,Bezugspunkte!$A:$A,0)),INDEX(Bezugspunkte!$F:$F,MATCH(F107,Bezugspunkte!$A:$A,0)))</f>
        <v>17.042</v>
      </c>
      <c r="K107" s="10" t="n">
        <f aca="false">J107-H107</f>
        <v>11.208</v>
      </c>
      <c r="L107" s="10" t="n">
        <f aca="false">IF(AND(F107=F106,G107=G106),H107-H106,H107)</f>
        <v>1.995</v>
      </c>
      <c r="M107" s="10" t="n">
        <v>5.867</v>
      </c>
      <c r="N107" s="10" t="n">
        <v>-21.989</v>
      </c>
    </row>
    <row r="108" customFormat="false" ht="15" hidden="false" customHeight="false" outlineLevel="0" collapsed="false">
      <c r="A108" s="9" t="n">
        <v>107</v>
      </c>
      <c r="B108" s="9" t="s">
        <v>190</v>
      </c>
      <c r="C108" s="9" t="s">
        <v>31</v>
      </c>
      <c r="D108" s="9" t="s">
        <v>89</v>
      </c>
      <c r="E108" s="9" t="s">
        <v>46</v>
      </c>
      <c r="F108" s="9" t="s">
        <v>176</v>
      </c>
      <c r="G108" s="9" t="s">
        <v>83</v>
      </c>
      <c r="H108" s="10" t="n">
        <v>9.134</v>
      </c>
      <c r="I108" s="9" t="str">
        <f aca="false">IF(OR(G108="links",G108="gegen UZS"),INDEX(Bezugspunkte!$C:$C,MATCH(F108,Bezugspunkte!$A:$A,0)),INDEX(Bezugspunkte!$E:$E,MATCH(F108,Bezugspunkte!$A:$A,0)))</f>
        <v>KI06</v>
      </c>
      <c r="J108" s="10" t="n">
        <f aca="false">IF(OR(G108="links",G108="gegen UZS"),INDEX(Bezugspunkte!$D:$D,MATCH(F108,Bezugspunkte!$A:$A,0)),INDEX(Bezugspunkte!$F:$F,MATCH(F108,Bezugspunkte!$A:$A,0)))</f>
        <v>17.042</v>
      </c>
      <c r="K108" s="10" t="n">
        <f aca="false">J108-H108</f>
        <v>7.908</v>
      </c>
      <c r="L108" s="10" t="n">
        <f aca="false">IF(AND(F108=F107,G108=G107),H108-H107,H108)</f>
        <v>3.3</v>
      </c>
      <c r="M108" s="10" t="n">
        <v>9.167</v>
      </c>
      <c r="N108" s="10" t="n">
        <v>-21.989</v>
      </c>
    </row>
    <row r="109" customFormat="false" ht="15" hidden="false" customHeight="false" outlineLevel="0" collapsed="false">
      <c r="A109" s="9" t="n">
        <v>108</v>
      </c>
      <c r="B109" s="9" t="s">
        <v>191</v>
      </c>
      <c r="C109" s="9" t="s">
        <v>35</v>
      </c>
      <c r="D109" s="9" t="s">
        <v>74</v>
      </c>
      <c r="E109" s="9" t="s">
        <v>46</v>
      </c>
      <c r="F109" s="9" t="s">
        <v>176</v>
      </c>
      <c r="G109" s="9" t="s">
        <v>83</v>
      </c>
      <c r="H109" s="10" t="n">
        <v>10.333</v>
      </c>
      <c r="I109" s="9" t="str">
        <f aca="false">IF(OR(G109="links",G109="gegen UZS"),INDEX(Bezugspunkte!$C:$C,MATCH(F109,Bezugspunkte!$A:$A,0)),INDEX(Bezugspunkte!$E:$E,MATCH(F109,Bezugspunkte!$A:$A,0)))</f>
        <v>KI06</v>
      </c>
      <c r="J109" s="10" t="n">
        <f aca="false">IF(OR(G109="links",G109="gegen UZS"),INDEX(Bezugspunkte!$D:$D,MATCH(F109,Bezugspunkte!$A:$A,0)),INDEX(Bezugspunkte!$F:$F,MATCH(F109,Bezugspunkte!$A:$A,0)))</f>
        <v>17.042</v>
      </c>
      <c r="K109" s="10" t="n">
        <f aca="false">J109-H109</f>
        <v>6.709</v>
      </c>
      <c r="L109" s="10" t="n">
        <f aca="false">IF(AND(F109=F108,G109=G108),H109-H108,H109)</f>
        <v>1.199</v>
      </c>
      <c r="M109" s="10" t="n">
        <v>10.366</v>
      </c>
      <c r="N109" s="10" t="n">
        <v>-21.989</v>
      </c>
    </row>
    <row r="110" customFormat="false" ht="15" hidden="false" customHeight="false" outlineLevel="0" collapsed="false">
      <c r="A110" s="9" t="n">
        <v>109</v>
      </c>
      <c r="B110" s="9" t="s">
        <v>192</v>
      </c>
      <c r="C110" s="9" t="s">
        <v>35</v>
      </c>
      <c r="D110" s="9" t="s">
        <v>74</v>
      </c>
      <c r="E110" s="9" t="s">
        <v>46</v>
      </c>
      <c r="F110" s="9" t="s">
        <v>176</v>
      </c>
      <c r="G110" s="9" t="s">
        <v>83</v>
      </c>
      <c r="H110" s="10" t="n">
        <v>11.334</v>
      </c>
      <c r="I110" s="9" t="str">
        <f aca="false">IF(OR(G110="links",G110="gegen UZS"),INDEX(Bezugspunkte!$C:$C,MATCH(F110,Bezugspunkte!$A:$A,0)),INDEX(Bezugspunkte!$E:$E,MATCH(F110,Bezugspunkte!$A:$A,0)))</f>
        <v>KI06</v>
      </c>
      <c r="J110" s="10" t="n">
        <f aca="false">IF(OR(G110="links",G110="gegen UZS"),INDEX(Bezugspunkte!$D:$D,MATCH(F110,Bezugspunkte!$A:$A,0)),INDEX(Bezugspunkte!$F:$F,MATCH(F110,Bezugspunkte!$A:$A,0)))</f>
        <v>17.042</v>
      </c>
      <c r="K110" s="10" t="n">
        <f aca="false">J110-H110</f>
        <v>5.708</v>
      </c>
      <c r="L110" s="10" t="n">
        <f aca="false">IF(AND(F110=F109,G110=G109),H110-H109,H110)</f>
        <v>1.001</v>
      </c>
      <c r="M110" s="10" t="n">
        <v>11.367</v>
      </c>
      <c r="N110" s="10" t="n">
        <v>-21.989</v>
      </c>
    </row>
    <row r="111" customFormat="false" ht="15" hidden="false" customHeight="false" outlineLevel="0" collapsed="false">
      <c r="A111" s="9" t="n">
        <v>110</v>
      </c>
      <c r="B111" s="9" t="s">
        <v>193</v>
      </c>
      <c r="C111" s="9" t="s">
        <v>31</v>
      </c>
      <c r="D111" s="9" t="s">
        <v>89</v>
      </c>
      <c r="E111" s="9" t="s">
        <v>46</v>
      </c>
      <c r="F111" s="9" t="s">
        <v>176</v>
      </c>
      <c r="G111" s="9" t="s">
        <v>83</v>
      </c>
      <c r="H111" s="10" t="n">
        <v>13.132</v>
      </c>
      <c r="I111" s="9" t="str">
        <f aca="false">IF(OR(G111="links",G111="gegen UZS"),INDEX(Bezugspunkte!$C:$C,MATCH(F111,Bezugspunkte!$A:$A,0)),INDEX(Bezugspunkte!$E:$E,MATCH(F111,Bezugspunkte!$A:$A,0)))</f>
        <v>KI06</v>
      </c>
      <c r="J111" s="10" t="n">
        <f aca="false">IF(OR(G111="links",G111="gegen UZS"),INDEX(Bezugspunkte!$D:$D,MATCH(F111,Bezugspunkte!$A:$A,0)),INDEX(Bezugspunkte!$F:$F,MATCH(F111,Bezugspunkte!$A:$A,0)))</f>
        <v>17.042</v>
      </c>
      <c r="K111" s="10" t="n">
        <f aca="false">J111-H111</f>
        <v>3.91</v>
      </c>
      <c r="L111" s="10" t="n">
        <f aca="false">IF(AND(F111=F110,G111=G110),H111-H110,H111)</f>
        <v>1.798</v>
      </c>
      <c r="M111" s="10" t="n">
        <v>13.165</v>
      </c>
      <c r="N111" s="10" t="n">
        <v>-21.989</v>
      </c>
    </row>
    <row r="112" customFormat="false" ht="15" hidden="false" customHeight="false" outlineLevel="0" collapsed="false">
      <c r="A112" s="9" t="n">
        <v>111</v>
      </c>
      <c r="B112" s="9" t="s">
        <v>194</v>
      </c>
      <c r="C112" s="9" t="s">
        <v>37</v>
      </c>
      <c r="D112" s="9" t="s">
        <v>78</v>
      </c>
      <c r="E112" s="9" t="s">
        <v>46</v>
      </c>
      <c r="F112" s="9" t="s">
        <v>176</v>
      </c>
      <c r="G112" s="9" t="s">
        <v>83</v>
      </c>
      <c r="H112" s="10" t="n">
        <v>14.133</v>
      </c>
      <c r="I112" s="9" t="str">
        <f aca="false">IF(OR(G112="links",G112="gegen UZS"),INDEX(Bezugspunkte!$C:$C,MATCH(F112,Bezugspunkte!$A:$A,0)),INDEX(Bezugspunkte!$E:$E,MATCH(F112,Bezugspunkte!$A:$A,0)))</f>
        <v>KI06</v>
      </c>
      <c r="J112" s="10" t="n">
        <f aca="false">IF(OR(G112="links",G112="gegen UZS"),INDEX(Bezugspunkte!$D:$D,MATCH(F112,Bezugspunkte!$A:$A,0)),INDEX(Bezugspunkte!$F:$F,MATCH(F112,Bezugspunkte!$A:$A,0)))</f>
        <v>17.042</v>
      </c>
      <c r="K112" s="10" t="n">
        <f aca="false">J112-H112</f>
        <v>2.909</v>
      </c>
      <c r="L112" s="10" t="n">
        <f aca="false">IF(AND(F112=F111,G112=G111),H112-H111,H112)</f>
        <v>1.001</v>
      </c>
      <c r="M112" s="10" t="n">
        <v>14.166</v>
      </c>
      <c r="N112" s="10" t="n">
        <v>-21.989</v>
      </c>
    </row>
    <row r="113" customFormat="false" ht="15" hidden="false" customHeight="false" outlineLevel="0" collapsed="false">
      <c r="A113" s="9" t="n">
        <v>112</v>
      </c>
      <c r="B113" s="9" t="s">
        <v>195</v>
      </c>
      <c r="C113" s="9" t="s">
        <v>31</v>
      </c>
      <c r="D113" s="9" t="s">
        <v>89</v>
      </c>
      <c r="E113" s="9" t="s">
        <v>46</v>
      </c>
      <c r="F113" s="9" t="s">
        <v>176</v>
      </c>
      <c r="G113" s="9" t="s">
        <v>83</v>
      </c>
      <c r="H113" s="10" t="n">
        <v>16.129</v>
      </c>
      <c r="I113" s="9" t="str">
        <f aca="false">IF(OR(G113="links",G113="gegen UZS"),INDEX(Bezugspunkte!$C:$C,MATCH(F113,Bezugspunkte!$A:$A,0)),INDEX(Bezugspunkte!$E:$E,MATCH(F113,Bezugspunkte!$A:$A,0)))</f>
        <v>KI06</v>
      </c>
      <c r="J113" s="10" t="n">
        <f aca="false">IF(OR(G113="links",G113="gegen UZS"),INDEX(Bezugspunkte!$D:$D,MATCH(F113,Bezugspunkte!$A:$A,0)),INDEX(Bezugspunkte!$F:$F,MATCH(F113,Bezugspunkte!$A:$A,0)))</f>
        <v>17.042</v>
      </c>
      <c r="K113" s="10" t="n">
        <f aca="false">J113-H113</f>
        <v>0.913</v>
      </c>
      <c r="L113" s="10" t="n">
        <f aca="false">IF(AND(F113=F112,G113=G112),H113-H112,H113)</f>
        <v>1.996</v>
      </c>
      <c r="M113" s="10" t="n">
        <v>16.162</v>
      </c>
      <c r="N113" s="10" t="n">
        <v>-21.989</v>
      </c>
    </row>
    <row r="114" customFormat="false" ht="15" hidden="false" customHeight="false" outlineLevel="0" collapsed="false">
      <c r="A114" s="9" t="n">
        <v>113</v>
      </c>
      <c r="B114" s="9" t="s">
        <v>196</v>
      </c>
      <c r="C114" s="9" t="s">
        <v>35</v>
      </c>
      <c r="D114" s="9" t="s">
        <v>74</v>
      </c>
      <c r="E114" s="9" t="s">
        <v>47</v>
      </c>
      <c r="F114" s="9" t="s">
        <v>197</v>
      </c>
      <c r="G114" s="9" t="s">
        <v>76</v>
      </c>
      <c r="H114" s="10" t="n">
        <v>2.33</v>
      </c>
      <c r="I114" s="9" t="str">
        <f aca="false">IF(OR(G114="links",G114="gegen UZS"),INDEX(Bezugspunkte!$C:$C,MATCH(F114,Bezugspunkte!$A:$A,0)),INDEX(Bezugspunkte!$E:$E,MATCH(F114,Bezugspunkte!$A:$A,0)))</f>
        <v>Q7-L</v>
      </c>
      <c r="J114" s="10" t="n">
        <f aca="false">IF(OR(G114="links",G114="gegen UZS"),INDEX(Bezugspunkte!$D:$D,MATCH(F114,Bezugspunkte!$A:$A,0)),INDEX(Bezugspunkte!$F:$F,MATCH(F114,Bezugspunkte!$A:$A,0)))</f>
        <v>14.602</v>
      </c>
      <c r="K114" s="10" t="n">
        <f aca="false">J114-H114</f>
        <v>12.272</v>
      </c>
      <c r="L114" s="10" t="n">
        <f aca="false">IF(AND(F114=F113,G114=G113),H114-H113,H114)</f>
        <v>2.33</v>
      </c>
      <c r="M114" s="10" t="n">
        <v>-2.277</v>
      </c>
      <c r="N114" s="10" t="n">
        <v>-33.477</v>
      </c>
    </row>
    <row r="115" customFormat="false" ht="15" hidden="false" customHeight="false" outlineLevel="0" collapsed="false">
      <c r="A115" s="9" t="n">
        <v>114</v>
      </c>
      <c r="B115" s="9" t="s">
        <v>198</v>
      </c>
      <c r="C115" s="9" t="s">
        <v>37</v>
      </c>
      <c r="D115" s="9" t="s">
        <v>78</v>
      </c>
      <c r="E115" s="9" t="s">
        <v>47</v>
      </c>
      <c r="F115" s="9" t="s">
        <v>197</v>
      </c>
      <c r="G115" s="9" t="s">
        <v>76</v>
      </c>
      <c r="H115" s="10" t="n">
        <v>3.275</v>
      </c>
      <c r="I115" s="9" t="str">
        <f aca="false">IF(OR(G115="links",G115="gegen UZS"),INDEX(Bezugspunkte!$C:$C,MATCH(F115,Bezugspunkte!$A:$A,0)),INDEX(Bezugspunkte!$E:$E,MATCH(F115,Bezugspunkte!$A:$A,0)))</f>
        <v>Q7-L</v>
      </c>
      <c r="J115" s="10" t="n">
        <f aca="false">IF(OR(G115="links",G115="gegen UZS"),INDEX(Bezugspunkte!$D:$D,MATCH(F115,Bezugspunkte!$A:$A,0)),INDEX(Bezugspunkte!$F:$F,MATCH(F115,Bezugspunkte!$A:$A,0)))</f>
        <v>14.602</v>
      </c>
      <c r="K115" s="10" t="n">
        <f aca="false">J115-H115</f>
        <v>11.327</v>
      </c>
      <c r="L115" s="10" t="n">
        <f aca="false">IF(AND(F115=F114,G115=G114),H115-H114,H115)</f>
        <v>0.945</v>
      </c>
      <c r="M115" s="10" t="n">
        <v>-3.222</v>
      </c>
      <c r="N115" s="10" t="n">
        <v>-33.477</v>
      </c>
    </row>
    <row r="116" customFormat="false" ht="15" hidden="false" customHeight="false" outlineLevel="0" collapsed="false">
      <c r="A116" s="9" t="n">
        <v>115</v>
      </c>
      <c r="B116" s="9" t="s">
        <v>199</v>
      </c>
      <c r="C116" s="9" t="s">
        <v>37</v>
      </c>
      <c r="D116" s="9" t="s">
        <v>78</v>
      </c>
      <c r="E116" s="9" t="s">
        <v>47</v>
      </c>
      <c r="F116" s="9" t="s">
        <v>197</v>
      </c>
      <c r="G116" s="9" t="s">
        <v>76</v>
      </c>
      <c r="H116" s="10" t="n">
        <v>4.276</v>
      </c>
      <c r="I116" s="9" t="str">
        <f aca="false">IF(OR(G116="links",G116="gegen UZS"),INDEX(Bezugspunkte!$C:$C,MATCH(F116,Bezugspunkte!$A:$A,0)),INDEX(Bezugspunkte!$E:$E,MATCH(F116,Bezugspunkte!$A:$A,0)))</f>
        <v>Q7-L</v>
      </c>
      <c r="J116" s="10" t="n">
        <f aca="false">IF(OR(G116="links",G116="gegen UZS"),INDEX(Bezugspunkte!$D:$D,MATCH(F116,Bezugspunkte!$A:$A,0)),INDEX(Bezugspunkte!$F:$F,MATCH(F116,Bezugspunkte!$A:$A,0)))</f>
        <v>14.602</v>
      </c>
      <c r="K116" s="10" t="n">
        <f aca="false">J116-H116</f>
        <v>10.326</v>
      </c>
      <c r="L116" s="10" t="n">
        <f aca="false">IF(AND(F116=F115,G116=G115),H116-H115,H116)</f>
        <v>1.001</v>
      </c>
      <c r="M116" s="10" t="n">
        <v>-4.223</v>
      </c>
      <c r="N116" s="10" t="n">
        <v>-33.477</v>
      </c>
    </row>
    <row r="117" customFormat="false" ht="15" hidden="false" customHeight="false" outlineLevel="0" collapsed="false">
      <c r="A117" s="9" t="n">
        <v>116</v>
      </c>
      <c r="B117" s="9" t="s">
        <v>200</v>
      </c>
      <c r="C117" s="9" t="s">
        <v>35</v>
      </c>
      <c r="D117" s="9" t="s">
        <v>74</v>
      </c>
      <c r="E117" s="9" t="s">
        <v>47</v>
      </c>
      <c r="F117" s="9" t="s">
        <v>197</v>
      </c>
      <c r="G117" s="9" t="s">
        <v>76</v>
      </c>
      <c r="H117" s="10" t="n">
        <v>6.723</v>
      </c>
      <c r="I117" s="9" t="str">
        <f aca="false">IF(OR(G117="links",G117="gegen UZS"),INDEX(Bezugspunkte!$C:$C,MATCH(F117,Bezugspunkte!$A:$A,0)),INDEX(Bezugspunkte!$E:$E,MATCH(F117,Bezugspunkte!$A:$A,0)))</f>
        <v>Q7-L</v>
      </c>
      <c r="J117" s="10" t="n">
        <f aca="false">IF(OR(G117="links",G117="gegen UZS"),INDEX(Bezugspunkte!$D:$D,MATCH(F117,Bezugspunkte!$A:$A,0)),INDEX(Bezugspunkte!$F:$F,MATCH(F117,Bezugspunkte!$A:$A,0)))</f>
        <v>14.602</v>
      </c>
      <c r="K117" s="10" t="n">
        <f aca="false">J117-H117</f>
        <v>7.879</v>
      </c>
      <c r="L117" s="10" t="n">
        <f aca="false">IF(AND(F117=F116,G117=G116),H117-H116,H117)</f>
        <v>2.447</v>
      </c>
      <c r="M117" s="10" t="n">
        <v>-6.67</v>
      </c>
      <c r="N117" s="10" t="n">
        <v>-33.477</v>
      </c>
    </row>
    <row r="118" customFormat="false" ht="15" hidden="false" customHeight="false" outlineLevel="0" collapsed="false">
      <c r="A118" s="9" t="n">
        <v>117</v>
      </c>
      <c r="B118" s="9" t="s">
        <v>201</v>
      </c>
      <c r="C118" s="9" t="s">
        <v>35</v>
      </c>
      <c r="D118" s="9" t="s">
        <v>74</v>
      </c>
      <c r="E118" s="9" t="s">
        <v>47</v>
      </c>
      <c r="F118" s="9" t="s">
        <v>197</v>
      </c>
      <c r="G118" s="9" t="s">
        <v>76</v>
      </c>
      <c r="H118" s="10" t="n">
        <v>8.323</v>
      </c>
      <c r="I118" s="9" t="str">
        <f aca="false">IF(OR(G118="links",G118="gegen UZS"),INDEX(Bezugspunkte!$C:$C,MATCH(F118,Bezugspunkte!$A:$A,0)),INDEX(Bezugspunkte!$E:$E,MATCH(F118,Bezugspunkte!$A:$A,0)))</f>
        <v>Q7-L</v>
      </c>
      <c r="J118" s="10" t="n">
        <f aca="false">IF(OR(G118="links",G118="gegen UZS"),INDEX(Bezugspunkte!$D:$D,MATCH(F118,Bezugspunkte!$A:$A,0)),INDEX(Bezugspunkte!$F:$F,MATCH(F118,Bezugspunkte!$A:$A,0)))</f>
        <v>14.602</v>
      </c>
      <c r="K118" s="10" t="n">
        <f aca="false">J118-H118</f>
        <v>6.279</v>
      </c>
      <c r="L118" s="10" t="n">
        <f aca="false">IF(AND(F118=F117,G118=G117),H118-H117,H118)</f>
        <v>1.6</v>
      </c>
      <c r="M118" s="10" t="n">
        <v>-8.27</v>
      </c>
      <c r="N118" s="10" t="n">
        <v>-33.477</v>
      </c>
    </row>
    <row r="119" customFormat="false" ht="15" hidden="false" customHeight="false" outlineLevel="0" collapsed="false">
      <c r="A119" s="9" t="n">
        <v>118</v>
      </c>
      <c r="B119" s="9" t="s">
        <v>202</v>
      </c>
      <c r="C119" s="9" t="s">
        <v>35</v>
      </c>
      <c r="D119" s="9" t="s">
        <v>74</v>
      </c>
      <c r="E119" s="9" t="s">
        <v>47</v>
      </c>
      <c r="F119" s="9" t="s">
        <v>197</v>
      </c>
      <c r="G119" s="9" t="s">
        <v>83</v>
      </c>
      <c r="H119" s="10" t="n">
        <v>1.52</v>
      </c>
      <c r="I119" s="9" t="str">
        <f aca="false">IF(OR(G119="links",G119="gegen UZS"),INDEX(Bezugspunkte!$C:$C,MATCH(F119,Bezugspunkte!$A:$A,0)),INDEX(Bezugspunkte!$E:$E,MATCH(F119,Bezugspunkte!$A:$A,0)))</f>
        <v>Q7-R</v>
      </c>
      <c r="J119" s="10" t="n">
        <f aca="false">IF(OR(G119="links",G119="gegen UZS"),INDEX(Bezugspunkte!$D:$D,MATCH(F119,Bezugspunkte!$A:$A,0)),INDEX(Bezugspunkte!$F:$F,MATCH(F119,Bezugspunkte!$A:$A,0)))</f>
        <v>14.602</v>
      </c>
      <c r="K119" s="10" t="n">
        <f aca="false">J119-H119</f>
        <v>13.082</v>
      </c>
      <c r="L119" s="10" t="n">
        <f aca="false">IF(AND(F119=F118,G119=G118),H119-H118,H119)</f>
        <v>1.52</v>
      </c>
      <c r="M119" s="10" t="n">
        <v>1.573</v>
      </c>
      <c r="N119" s="10" t="n">
        <v>-33.477</v>
      </c>
    </row>
    <row r="120" customFormat="false" ht="15" hidden="false" customHeight="false" outlineLevel="0" collapsed="false">
      <c r="A120" s="9" t="n">
        <v>119</v>
      </c>
      <c r="B120" s="9" t="s">
        <v>203</v>
      </c>
      <c r="C120" s="9" t="s">
        <v>37</v>
      </c>
      <c r="D120" s="9" t="s">
        <v>78</v>
      </c>
      <c r="E120" s="9" t="s">
        <v>47</v>
      </c>
      <c r="F120" s="9" t="s">
        <v>197</v>
      </c>
      <c r="G120" s="9" t="s">
        <v>83</v>
      </c>
      <c r="H120" s="10" t="n">
        <v>2.514</v>
      </c>
      <c r="I120" s="9" t="str">
        <f aca="false">IF(OR(G120="links",G120="gegen UZS"),INDEX(Bezugspunkte!$C:$C,MATCH(F120,Bezugspunkte!$A:$A,0)),INDEX(Bezugspunkte!$E:$E,MATCH(F120,Bezugspunkte!$A:$A,0)))</f>
        <v>Q7-R</v>
      </c>
      <c r="J120" s="10" t="n">
        <f aca="false">IF(OR(G120="links",G120="gegen UZS"),INDEX(Bezugspunkte!$D:$D,MATCH(F120,Bezugspunkte!$A:$A,0)),INDEX(Bezugspunkte!$F:$F,MATCH(F120,Bezugspunkte!$A:$A,0)))</f>
        <v>14.602</v>
      </c>
      <c r="K120" s="10" t="n">
        <f aca="false">J120-H120</f>
        <v>12.088</v>
      </c>
      <c r="L120" s="10" t="n">
        <f aca="false">IF(AND(F120=F119,G120=G119),H120-H119,H120)</f>
        <v>0.994</v>
      </c>
      <c r="M120" s="10" t="n">
        <v>2.567</v>
      </c>
      <c r="N120" s="10" t="n">
        <v>-33.477</v>
      </c>
    </row>
    <row r="121" customFormat="false" ht="15" hidden="false" customHeight="false" outlineLevel="0" collapsed="false">
      <c r="A121" s="9" t="n">
        <v>120</v>
      </c>
      <c r="B121" s="9" t="s">
        <v>204</v>
      </c>
      <c r="C121" s="9" t="s">
        <v>37</v>
      </c>
      <c r="D121" s="9" t="s">
        <v>78</v>
      </c>
      <c r="E121" s="9" t="s">
        <v>47</v>
      </c>
      <c r="F121" s="9" t="s">
        <v>197</v>
      </c>
      <c r="G121" s="9" t="s">
        <v>83</v>
      </c>
      <c r="H121" s="10" t="n">
        <v>3.523</v>
      </c>
      <c r="I121" s="9" t="str">
        <f aca="false">IF(OR(G121="links",G121="gegen UZS"),INDEX(Bezugspunkte!$C:$C,MATCH(F121,Bezugspunkte!$A:$A,0)),INDEX(Bezugspunkte!$E:$E,MATCH(F121,Bezugspunkte!$A:$A,0)))</f>
        <v>Q7-R</v>
      </c>
      <c r="J121" s="10" t="n">
        <f aca="false">IF(OR(G121="links",G121="gegen UZS"),INDEX(Bezugspunkte!$D:$D,MATCH(F121,Bezugspunkte!$A:$A,0)),INDEX(Bezugspunkte!$F:$F,MATCH(F121,Bezugspunkte!$A:$A,0)))</f>
        <v>14.602</v>
      </c>
      <c r="K121" s="10" t="n">
        <f aca="false">J121-H121</f>
        <v>11.079</v>
      </c>
      <c r="L121" s="10" t="n">
        <f aca="false">IF(AND(F121=F120,G121=G120),H121-H120,H121)</f>
        <v>1.009</v>
      </c>
      <c r="M121" s="10" t="n">
        <v>3.576</v>
      </c>
      <c r="N121" s="10" t="n">
        <v>-33.477</v>
      </c>
    </row>
    <row r="122" customFormat="false" ht="15" hidden="false" customHeight="false" outlineLevel="0" collapsed="false">
      <c r="A122" s="9" t="n">
        <v>121</v>
      </c>
      <c r="B122" s="9" t="s">
        <v>205</v>
      </c>
      <c r="C122" s="9" t="s">
        <v>35</v>
      </c>
      <c r="D122" s="9" t="s">
        <v>74</v>
      </c>
      <c r="E122" s="9" t="s">
        <v>47</v>
      </c>
      <c r="F122" s="9" t="s">
        <v>197</v>
      </c>
      <c r="G122" s="9" t="s">
        <v>83</v>
      </c>
      <c r="H122" s="10" t="n">
        <v>6.117</v>
      </c>
      <c r="I122" s="9" t="str">
        <f aca="false">IF(OR(G122="links",G122="gegen UZS"),INDEX(Bezugspunkte!$C:$C,MATCH(F122,Bezugspunkte!$A:$A,0)),INDEX(Bezugspunkte!$E:$E,MATCH(F122,Bezugspunkte!$A:$A,0)))</f>
        <v>Q7-R</v>
      </c>
      <c r="J122" s="10" t="n">
        <f aca="false">IF(OR(G122="links",G122="gegen UZS"),INDEX(Bezugspunkte!$D:$D,MATCH(F122,Bezugspunkte!$A:$A,0)),INDEX(Bezugspunkte!$F:$F,MATCH(F122,Bezugspunkte!$A:$A,0)))</f>
        <v>14.602</v>
      </c>
      <c r="K122" s="10" t="n">
        <f aca="false">J122-H122</f>
        <v>8.485</v>
      </c>
      <c r="L122" s="10" t="n">
        <f aca="false">IF(AND(F122=F121,G122=G121),H122-H121,H122)</f>
        <v>2.594</v>
      </c>
      <c r="M122" s="10" t="n">
        <v>6.17</v>
      </c>
      <c r="N122" s="10" t="n">
        <v>-33.477</v>
      </c>
    </row>
    <row r="123" customFormat="false" ht="15" hidden="false" customHeight="false" outlineLevel="0" collapsed="false">
      <c r="A123" s="9" t="n">
        <v>122</v>
      </c>
      <c r="B123" s="9" t="s">
        <v>206</v>
      </c>
      <c r="C123" s="9" t="s">
        <v>35</v>
      </c>
      <c r="D123" s="9" t="s">
        <v>74</v>
      </c>
      <c r="E123" s="9" t="s">
        <v>47</v>
      </c>
      <c r="F123" s="9" t="s">
        <v>197</v>
      </c>
      <c r="G123" s="9" t="s">
        <v>83</v>
      </c>
      <c r="H123" s="10" t="n">
        <v>7.669</v>
      </c>
      <c r="I123" s="9" t="str">
        <f aca="false">IF(OR(G123="links",G123="gegen UZS"),INDEX(Bezugspunkte!$C:$C,MATCH(F123,Bezugspunkte!$A:$A,0)),INDEX(Bezugspunkte!$E:$E,MATCH(F123,Bezugspunkte!$A:$A,0)))</f>
        <v>Q7-R</v>
      </c>
      <c r="J123" s="10" t="n">
        <f aca="false">IF(OR(G123="links",G123="gegen UZS"),INDEX(Bezugspunkte!$D:$D,MATCH(F123,Bezugspunkte!$A:$A,0)),INDEX(Bezugspunkte!$F:$F,MATCH(F123,Bezugspunkte!$A:$A,0)))</f>
        <v>14.602</v>
      </c>
      <c r="K123" s="10" t="n">
        <f aca="false">J123-H123</f>
        <v>6.933</v>
      </c>
      <c r="L123" s="10" t="n">
        <f aca="false">IF(AND(F123=F122,G123=G122),H123-H122,H123)</f>
        <v>1.552</v>
      </c>
      <c r="M123" s="10" t="n">
        <v>7.722</v>
      </c>
      <c r="N123" s="10" t="n">
        <v>-33.477</v>
      </c>
    </row>
    <row r="124" customFormat="false" ht="15" hidden="false" customHeight="false" outlineLevel="0" collapsed="false">
      <c r="A124" s="9" t="n">
        <v>123</v>
      </c>
      <c r="B124" s="9" t="s">
        <v>207</v>
      </c>
      <c r="C124" s="9" t="s">
        <v>29</v>
      </c>
      <c r="D124" s="9" t="s">
        <v>208</v>
      </c>
      <c r="E124" s="9" t="s">
        <v>48</v>
      </c>
      <c r="F124" s="9" t="s">
        <v>209</v>
      </c>
      <c r="G124" s="9" t="s">
        <v>210</v>
      </c>
      <c r="H124" s="10" t="n">
        <v>4.766</v>
      </c>
      <c r="I124" s="9" t="str">
        <f aca="false">IF(OR(G124="links",G124="gegen UZS"),INDEX(Bezugspunkte!$C:$C,MATCH(F124,Bezugspunkte!$A:$A,0)),INDEX(Bezugspunkte!$E:$E,MATCH(F124,Bezugspunkte!$A:$A,0)))</f>
        <v>KA32</v>
      </c>
      <c r="J124" s="10" t="n">
        <f aca="false">IF(OR(G124="links",G124="gegen UZS"),INDEX(Bezugspunkte!$D:$D,MATCH(F124,Bezugspunkte!$A:$A,0)),INDEX(Bezugspunkte!$F:$F,MATCH(F124,Bezugspunkte!$A:$A,0)))</f>
        <v>8.333</v>
      </c>
      <c r="K124" s="10" t="n">
        <f aca="false">J124-H124</f>
        <v>3.567</v>
      </c>
      <c r="L124" s="10" t="n">
        <f aca="false">IF(AND(F124=F123,G124=G123),H124-H123,H124)</f>
        <v>4.766</v>
      </c>
      <c r="M124" s="10" t="n">
        <v>0.022</v>
      </c>
      <c r="N124" s="10" t="n">
        <v>56.721</v>
      </c>
    </row>
    <row r="125" customFormat="false" ht="15" hidden="false" customHeight="false" outlineLevel="0" collapsed="false">
      <c r="A125" s="9" t="n">
        <v>124</v>
      </c>
      <c r="B125" s="9" t="s">
        <v>211</v>
      </c>
      <c r="C125" s="9" t="s">
        <v>29</v>
      </c>
      <c r="D125" s="9" t="s">
        <v>208</v>
      </c>
      <c r="E125" s="9" t="s">
        <v>48</v>
      </c>
      <c r="F125" s="9" t="s">
        <v>209</v>
      </c>
      <c r="G125" s="9" t="s">
        <v>212</v>
      </c>
      <c r="H125" s="10" t="n">
        <v>1.529</v>
      </c>
      <c r="I125" s="9" t="str">
        <f aca="false">IF(OR(G125="links",G125="gegen UZS"),INDEX(Bezugspunkte!$C:$C,MATCH(F125,Bezugspunkte!$A:$A,0)),INDEX(Bezugspunkte!$E:$E,MATCH(F125,Bezugspunkte!$A:$A,0)))</f>
        <v>KA02</v>
      </c>
      <c r="J125" s="10" t="n">
        <f aca="false">IF(OR(G125="links",G125="gegen UZS"),INDEX(Bezugspunkte!$D:$D,MATCH(F125,Bezugspunkte!$A:$A,0)),INDEX(Bezugspunkte!$F:$F,MATCH(F125,Bezugspunkte!$A:$A,0)))</f>
        <v>8.334</v>
      </c>
      <c r="K125" s="10" t="n">
        <f aca="false">J125-H125</f>
        <v>6.805</v>
      </c>
      <c r="L125" s="10" t="n">
        <f aca="false">IF(AND(F125=F124,G125=G124),H125-H124,H125)</f>
        <v>1.529</v>
      </c>
      <c r="M125" s="10" t="n">
        <v>6.015</v>
      </c>
      <c r="N125" s="10" t="n">
        <v>55.925</v>
      </c>
    </row>
    <row r="126" customFormat="false" ht="15" hidden="false" customHeight="false" outlineLevel="0" collapsed="false">
      <c r="A126" s="9" t="n">
        <v>125</v>
      </c>
      <c r="B126" s="9" t="s">
        <v>213</v>
      </c>
      <c r="C126" s="9" t="s">
        <v>37</v>
      </c>
      <c r="D126" s="9" t="s">
        <v>78</v>
      </c>
      <c r="E126" s="9" t="s">
        <v>48</v>
      </c>
      <c r="F126" s="9" t="s">
        <v>209</v>
      </c>
      <c r="G126" s="9" t="s">
        <v>212</v>
      </c>
      <c r="H126" s="10" t="n">
        <v>4.072</v>
      </c>
      <c r="I126" s="9" t="str">
        <f aca="false">IF(OR(G126="links",G126="gegen UZS"),INDEX(Bezugspunkte!$C:$C,MATCH(F126,Bezugspunkte!$A:$A,0)),INDEX(Bezugspunkte!$E:$E,MATCH(F126,Bezugspunkte!$A:$A,0)))</f>
        <v>KA02</v>
      </c>
      <c r="J126" s="10" t="n">
        <f aca="false">IF(OR(G126="links",G126="gegen UZS"),INDEX(Bezugspunkte!$D:$D,MATCH(F126,Bezugspunkte!$A:$A,0)),INDEX(Bezugspunkte!$F:$F,MATCH(F126,Bezugspunkte!$A:$A,0)))</f>
        <v>8.334</v>
      </c>
      <c r="K126" s="10" t="n">
        <f aca="false">J126-H126</f>
        <v>4.262</v>
      </c>
      <c r="L126" s="10" t="n">
        <f aca="false">IF(AND(F126=F125,G126=G125),H126-H125,H126)</f>
        <v>2.543</v>
      </c>
      <c r="M126" s="10" t="n">
        <v>8.518</v>
      </c>
      <c r="N126" s="10" t="n">
        <v>55.325</v>
      </c>
    </row>
    <row r="127" customFormat="false" ht="15" hidden="false" customHeight="false" outlineLevel="0" collapsed="false">
      <c r="A127" s="9" t="n">
        <v>126</v>
      </c>
      <c r="B127" s="9" t="s">
        <v>214</v>
      </c>
      <c r="C127" s="9" t="s">
        <v>29</v>
      </c>
      <c r="D127" s="9" t="s">
        <v>208</v>
      </c>
      <c r="E127" s="9" t="s">
        <v>48</v>
      </c>
      <c r="F127" s="9" t="s">
        <v>209</v>
      </c>
      <c r="G127" s="9" t="s">
        <v>212</v>
      </c>
      <c r="H127" s="10" t="n">
        <v>7.216</v>
      </c>
      <c r="I127" s="9" t="str">
        <f aca="false">IF(OR(G127="links",G127="gegen UZS"),INDEX(Bezugspunkte!$C:$C,MATCH(F127,Bezugspunkte!$A:$A,0)),INDEX(Bezugspunkte!$E:$E,MATCH(F127,Bezugspunkte!$A:$A,0)))</f>
        <v>KA02</v>
      </c>
      <c r="J127" s="10" t="n">
        <f aca="false">IF(OR(G127="links",G127="gegen UZS"),INDEX(Bezugspunkte!$D:$D,MATCH(F127,Bezugspunkte!$A:$A,0)),INDEX(Bezugspunkte!$F:$F,MATCH(F127,Bezugspunkte!$A:$A,0)))</f>
        <v>8.334</v>
      </c>
      <c r="K127" s="10" t="n">
        <f aca="false">J127-H127</f>
        <v>1.118</v>
      </c>
      <c r="L127" s="10" t="n">
        <f aca="false">IF(AND(F127=F126,G127=G126),H127-H126,H127)</f>
        <v>3.144</v>
      </c>
      <c r="M127" s="10" t="n">
        <v>11.466</v>
      </c>
      <c r="N127" s="10" t="n">
        <v>54.225</v>
      </c>
    </row>
    <row r="128" customFormat="false" ht="15" hidden="false" customHeight="false" outlineLevel="0" collapsed="false">
      <c r="A128" s="9" t="n">
        <v>127</v>
      </c>
      <c r="B128" s="9" t="s">
        <v>215</v>
      </c>
      <c r="C128" s="9" t="s">
        <v>29</v>
      </c>
      <c r="D128" s="9" t="s">
        <v>208</v>
      </c>
      <c r="E128" s="9" t="s">
        <v>48</v>
      </c>
      <c r="F128" s="9" t="s">
        <v>216</v>
      </c>
      <c r="G128" s="9" t="s">
        <v>210</v>
      </c>
      <c r="H128" s="10" t="n">
        <v>3.492</v>
      </c>
      <c r="I128" s="9" t="str">
        <f aca="false">IF(OR(G128="links",G128="gegen UZS"),INDEX(Bezugspunkte!$C:$C,MATCH(F128,Bezugspunkte!$A:$A,0)),INDEX(Bezugspunkte!$E:$E,MATCH(F128,Bezugspunkte!$A:$A,0)))</f>
        <v>KA02</v>
      </c>
      <c r="J128" s="10" t="n">
        <f aca="false">IF(OR(G128="links",G128="gegen UZS"),INDEX(Bezugspunkte!$D:$D,MATCH(F128,Bezugspunkte!$A:$A,0)),INDEX(Bezugspunkte!$F:$F,MATCH(F128,Bezugspunkte!$A:$A,0)))</f>
        <v>8.078</v>
      </c>
      <c r="K128" s="10" t="n">
        <f aca="false">J128-H128</f>
        <v>4.586</v>
      </c>
      <c r="L128" s="10" t="n">
        <f aca="false">IF(AND(F128=F127,G128=G127),H128-H127,H128)</f>
        <v>3.492</v>
      </c>
      <c r="M128" s="10" t="n">
        <v>16.268</v>
      </c>
      <c r="N128" s="10" t="n">
        <v>51.172</v>
      </c>
    </row>
    <row r="129" customFormat="false" ht="15" hidden="false" customHeight="false" outlineLevel="0" collapsed="false">
      <c r="A129" s="9" t="n">
        <v>128</v>
      </c>
      <c r="B129" s="9" t="s">
        <v>217</v>
      </c>
      <c r="C129" s="9" t="s">
        <v>37</v>
      </c>
      <c r="D129" s="9" t="s">
        <v>78</v>
      </c>
      <c r="E129" s="9" t="s">
        <v>48</v>
      </c>
      <c r="F129" s="9" t="s">
        <v>216</v>
      </c>
      <c r="G129" s="9" t="s">
        <v>212</v>
      </c>
      <c r="H129" s="10" t="n">
        <v>0.116</v>
      </c>
      <c r="I129" s="9" t="str">
        <f aca="false">IF(OR(G129="links",G129="gegen UZS"),INDEX(Bezugspunkte!$C:$C,MATCH(F129,Bezugspunkte!$A:$A,0)),INDEX(Bezugspunkte!$E:$E,MATCH(F129,Bezugspunkte!$A:$A,0)))</f>
        <v>KA04</v>
      </c>
      <c r="J129" s="10" t="n">
        <f aca="false">IF(OR(G129="links",G129="gegen UZS"),INDEX(Bezugspunkte!$D:$D,MATCH(F129,Bezugspunkte!$A:$A,0)),INDEX(Bezugspunkte!$F:$F,MATCH(F129,Bezugspunkte!$A:$A,0)))</f>
        <v>8.207</v>
      </c>
      <c r="K129" s="10" t="n">
        <f aca="false">J129-H129</f>
        <v>8.091</v>
      </c>
      <c r="L129" s="10" t="n">
        <f aca="false">IF(AND(F129=F128,G129=G128),H129-H128,H129)</f>
        <v>0.116</v>
      </c>
      <c r="M129" s="10" t="n">
        <v>19.151</v>
      </c>
      <c r="N129" s="10" t="n">
        <v>49.184</v>
      </c>
    </row>
    <row r="130" customFormat="false" ht="15" hidden="false" customHeight="false" outlineLevel="0" collapsed="false">
      <c r="A130" s="9" t="n">
        <v>129</v>
      </c>
      <c r="B130" s="9" t="s">
        <v>218</v>
      </c>
      <c r="C130" s="9" t="s">
        <v>29</v>
      </c>
      <c r="D130" s="9" t="s">
        <v>208</v>
      </c>
      <c r="E130" s="9" t="s">
        <v>48</v>
      </c>
      <c r="F130" s="9" t="s">
        <v>216</v>
      </c>
      <c r="G130" s="9" t="s">
        <v>212</v>
      </c>
      <c r="H130" s="10" t="n">
        <v>2.682</v>
      </c>
      <c r="I130" s="9" t="str">
        <f aca="false">IF(OR(G130="links",G130="gegen UZS"),INDEX(Bezugspunkte!$C:$C,MATCH(F130,Bezugspunkte!$A:$A,0)),INDEX(Bezugspunkte!$E:$E,MATCH(F130,Bezugspunkte!$A:$A,0)))</f>
        <v>KA04</v>
      </c>
      <c r="J130" s="10" t="n">
        <f aca="false">IF(OR(G130="links",G130="gegen UZS"),INDEX(Bezugspunkte!$D:$D,MATCH(F130,Bezugspunkte!$A:$A,0)),INDEX(Bezugspunkte!$F:$F,MATCH(F130,Bezugspunkte!$A:$A,0)))</f>
        <v>8.207</v>
      </c>
      <c r="K130" s="10" t="n">
        <f aca="false">J130-H130</f>
        <v>5.525</v>
      </c>
      <c r="L130" s="10" t="n">
        <f aca="false">IF(AND(F130=F129,G130=G129),H130-H129,H130)</f>
        <v>2.566</v>
      </c>
      <c r="M130" s="10" t="n">
        <v>20.816</v>
      </c>
      <c r="N130" s="10" t="n">
        <v>47.231</v>
      </c>
    </row>
    <row r="131" customFormat="false" ht="15" hidden="false" customHeight="false" outlineLevel="0" collapsed="false">
      <c r="A131" s="9" t="n">
        <v>130</v>
      </c>
      <c r="B131" s="9" t="s">
        <v>219</v>
      </c>
      <c r="C131" s="9" t="s">
        <v>29</v>
      </c>
      <c r="D131" s="9" t="s">
        <v>208</v>
      </c>
      <c r="E131" s="9" t="s">
        <v>48</v>
      </c>
      <c r="F131" s="9" t="s">
        <v>216</v>
      </c>
      <c r="G131" s="9" t="s">
        <v>212</v>
      </c>
      <c r="H131" s="10" t="n">
        <v>7.03</v>
      </c>
      <c r="I131" s="9" t="str">
        <f aca="false">IF(OR(G131="links",G131="gegen UZS"),INDEX(Bezugspunkte!$C:$C,MATCH(F131,Bezugspunkte!$A:$A,0)),INDEX(Bezugspunkte!$E:$E,MATCH(F131,Bezugspunkte!$A:$A,0)))</f>
        <v>KA04</v>
      </c>
      <c r="J131" s="10" t="n">
        <f aca="false">IF(OR(G131="links",G131="gegen UZS"),INDEX(Bezugspunkte!$D:$D,MATCH(F131,Bezugspunkte!$A:$A,0)),INDEX(Bezugspunkte!$F:$F,MATCH(F131,Bezugspunkte!$A:$A,0)))</f>
        <v>8.207</v>
      </c>
      <c r="K131" s="10" t="n">
        <f aca="false">J131-H131</f>
        <v>1.177</v>
      </c>
      <c r="L131" s="10" t="n">
        <f aca="false">IF(AND(F131=F130,G131=G130),H131-H130,H131)</f>
        <v>4.348</v>
      </c>
      <c r="M131" s="10" t="n">
        <v>23.706</v>
      </c>
      <c r="N131" s="10" t="n">
        <v>43.98</v>
      </c>
    </row>
    <row r="132" customFormat="false" ht="15" hidden="false" customHeight="false" outlineLevel="0" collapsed="false">
      <c r="A132" s="9" t="n">
        <v>131</v>
      </c>
      <c r="B132" s="9" t="s">
        <v>220</v>
      </c>
      <c r="C132" s="9" t="s">
        <v>29</v>
      </c>
      <c r="D132" s="9" t="s">
        <v>208</v>
      </c>
      <c r="E132" s="9" t="s">
        <v>48</v>
      </c>
      <c r="F132" s="9" t="s">
        <v>221</v>
      </c>
      <c r="G132" s="9" t="s">
        <v>210</v>
      </c>
      <c r="H132" s="10" t="n">
        <v>4.186</v>
      </c>
      <c r="I132" s="9" t="str">
        <f aca="false">IF(OR(G132="links",G132="gegen UZS"),INDEX(Bezugspunkte!$C:$C,MATCH(F132,Bezugspunkte!$A:$A,0)),INDEX(Bezugspunkte!$E:$E,MATCH(F132,Bezugspunkte!$A:$A,0)))</f>
        <v>KA04</v>
      </c>
      <c r="J132" s="10" t="n">
        <f aca="false">IF(OR(G132="links",G132="gegen UZS"),INDEX(Bezugspunkte!$D:$D,MATCH(F132,Bezugspunkte!$A:$A,0)),INDEX(Bezugspunkte!$F:$F,MATCH(F132,Bezugspunkte!$A:$A,0)))</f>
        <v>7.441</v>
      </c>
      <c r="K132" s="10" t="n">
        <f aca="false">J132-H132</f>
        <v>3.255</v>
      </c>
      <c r="L132" s="10" t="n">
        <f aca="false">IF(AND(F132=F131,G132=G131),H132-H131,H132)</f>
        <v>4.186</v>
      </c>
      <c r="M132" s="10" t="n">
        <v>26.259</v>
      </c>
      <c r="N132" s="10" t="n">
        <v>40.384</v>
      </c>
    </row>
    <row r="133" customFormat="false" ht="15" hidden="false" customHeight="false" outlineLevel="0" collapsed="false">
      <c r="A133" s="9" t="n">
        <v>132</v>
      </c>
      <c r="B133" s="9" t="s">
        <v>222</v>
      </c>
      <c r="C133" s="9" t="s">
        <v>37</v>
      </c>
      <c r="D133" s="9" t="s">
        <v>78</v>
      </c>
      <c r="E133" s="9" t="s">
        <v>48</v>
      </c>
      <c r="F133" s="9" t="s">
        <v>221</v>
      </c>
      <c r="G133" s="9" t="s">
        <v>210</v>
      </c>
      <c r="H133" s="10" t="n">
        <v>6.704</v>
      </c>
      <c r="I133" s="9" t="str">
        <f aca="false">IF(OR(G133="links",G133="gegen UZS"),INDEX(Bezugspunkte!$C:$C,MATCH(F133,Bezugspunkte!$A:$A,0)),INDEX(Bezugspunkte!$E:$E,MATCH(F133,Bezugspunkte!$A:$A,0)))</f>
        <v>KA04</v>
      </c>
      <c r="J133" s="10" t="n">
        <f aca="false">IF(OR(G133="links",G133="gegen UZS"),INDEX(Bezugspunkte!$D:$D,MATCH(F133,Bezugspunkte!$A:$A,0)),INDEX(Bezugspunkte!$F:$F,MATCH(F133,Bezugspunkte!$A:$A,0)))</f>
        <v>7.441</v>
      </c>
      <c r="K133" s="10" t="n">
        <f aca="false">J133-H133</f>
        <v>0.737</v>
      </c>
      <c r="L133" s="10" t="n">
        <f aca="false">IF(AND(F133=F132,G133=G132),H133-H132,H133)</f>
        <v>2.518</v>
      </c>
      <c r="M133" s="10" t="n">
        <v>25.004</v>
      </c>
      <c r="N133" s="10" t="n">
        <v>42.577</v>
      </c>
    </row>
    <row r="134" customFormat="false" ht="15" hidden="false" customHeight="false" outlineLevel="0" collapsed="false">
      <c r="A134" s="9" t="n">
        <v>133</v>
      </c>
      <c r="B134" s="9" t="s">
        <v>223</v>
      </c>
      <c r="C134" s="9" t="s">
        <v>29</v>
      </c>
      <c r="D134" s="9" t="s">
        <v>208</v>
      </c>
      <c r="E134" s="9" t="s">
        <v>48</v>
      </c>
      <c r="F134" s="9" t="s">
        <v>221</v>
      </c>
      <c r="G134" s="9" t="s">
        <v>212</v>
      </c>
      <c r="H134" s="10" t="n">
        <v>0.083</v>
      </c>
      <c r="I134" s="9" t="str">
        <f aca="false">IF(OR(G134="links",G134="gegen UZS"),INDEX(Bezugspunkte!$C:$C,MATCH(F134,Bezugspunkte!$A:$A,0)),INDEX(Bezugspunkte!$E:$E,MATCH(F134,Bezugspunkte!$A:$A,0)))</f>
        <v>KA06</v>
      </c>
      <c r="J134" s="10" t="n">
        <f aca="false">IF(OR(G134="links",G134="gegen UZS"),INDEX(Bezugspunkte!$D:$D,MATCH(F134,Bezugspunkte!$A:$A,0)),INDEX(Bezugspunkte!$F:$F,MATCH(F134,Bezugspunkte!$A:$A,0)))</f>
        <v>7.344</v>
      </c>
      <c r="K134" s="10" t="n">
        <f aca="false">J134-H134</f>
        <v>7.261</v>
      </c>
      <c r="L134" s="10" t="n">
        <f aca="false">IF(AND(F134=F133,G134=G133),H134-H133,H134)</f>
        <v>0.083</v>
      </c>
      <c r="M134" s="10" t="n">
        <v>28.656</v>
      </c>
      <c r="N134" s="10" t="n">
        <v>36.88</v>
      </c>
    </row>
    <row r="135" customFormat="false" ht="15" hidden="false" customHeight="false" outlineLevel="0" collapsed="false">
      <c r="A135" s="9" t="n">
        <v>134</v>
      </c>
      <c r="B135" s="9" t="s">
        <v>224</v>
      </c>
      <c r="C135" s="9" t="s">
        <v>37</v>
      </c>
      <c r="D135" s="9" t="s">
        <v>78</v>
      </c>
      <c r="E135" s="9" t="s">
        <v>48</v>
      </c>
      <c r="F135" s="9" t="s">
        <v>221</v>
      </c>
      <c r="G135" s="9" t="s">
        <v>212</v>
      </c>
      <c r="H135" s="10" t="n">
        <v>2.36</v>
      </c>
      <c r="I135" s="9" t="str">
        <f aca="false">IF(OR(G135="links",G135="gegen UZS"),INDEX(Bezugspunkte!$C:$C,MATCH(F135,Bezugspunkte!$A:$A,0)),INDEX(Bezugspunkte!$E:$E,MATCH(F135,Bezugspunkte!$A:$A,0)))</f>
        <v>KA06</v>
      </c>
      <c r="J135" s="10" t="n">
        <f aca="false">IF(OR(G135="links",G135="gegen UZS"),INDEX(Bezugspunkte!$D:$D,MATCH(F135,Bezugspunkte!$A:$A,0)),INDEX(Bezugspunkte!$F:$F,MATCH(F135,Bezugspunkte!$A:$A,0)))</f>
        <v>7.344</v>
      </c>
      <c r="K135" s="10" t="n">
        <f aca="false">J135-H135</f>
        <v>4.984</v>
      </c>
      <c r="L135" s="10" t="n">
        <f aca="false">IF(AND(F135=F134,G135=G134),H135-H134,H135)</f>
        <v>2.277</v>
      </c>
      <c r="M135" s="10" t="n">
        <v>29.855</v>
      </c>
      <c r="N135" s="10" t="n">
        <v>34.941</v>
      </c>
    </row>
    <row r="136" customFormat="false" ht="15" hidden="false" customHeight="false" outlineLevel="0" collapsed="false">
      <c r="A136" s="9" t="n">
        <v>135</v>
      </c>
      <c r="B136" s="9" t="s">
        <v>225</v>
      </c>
      <c r="C136" s="9" t="s">
        <v>29</v>
      </c>
      <c r="D136" s="9" t="s">
        <v>208</v>
      </c>
      <c r="E136" s="9" t="s">
        <v>48</v>
      </c>
      <c r="F136" s="9" t="s">
        <v>221</v>
      </c>
      <c r="G136" s="9" t="s">
        <v>212</v>
      </c>
      <c r="H136" s="10" t="n">
        <v>4.42</v>
      </c>
      <c r="I136" s="9" t="str">
        <f aca="false">IF(OR(G136="links",G136="gegen UZS"),INDEX(Bezugspunkte!$C:$C,MATCH(F136,Bezugspunkte!$A:$A,0)),INDEX(Bezugspunkte!$E:$E,MATCH(F136,Bezugspunkte!$A:$A,0)))</f>
        <v>KA06</v>
      </c>
      <c r="J136" s="10" t="n">
        <f aca="false">IF(OR(G136="links",G136="gegen UZS"),INDEX(Bezugspunkte!$D:$D,MATCH(F136,Bezugspunkte!$A:$A,0)),INDEX(Bezugspunkte!$F:$F,MATCH(F136,Bezugspunkte!$A:$A,0)))</f>
        <v>7.344</v>
      </c>
      <c r="K136" s="10" t="n">
        <f aca="false">J136-H136</f>
        <v>2.924</v>
      </c>
      <c r="L136" s="10" t="n">
        <f aca="false">IF(AND(F136=F135,G136=G135),H136-H135,H136)</f>
        <v>2.06</v>
      </c>
      <c r="M136" s="10" t="n">
        <v>30.758</v>
      </c>
      <c r="N136" s="10" t="n">
        <v>33.086</v>
      </c>
    </row>
    <row r="137" customFormat="false" ht="15" hidden="false" customHeight="false" outlineLevel="0" collapsed="false">
      <c r="A137" s="9" t="n">
        <v>136</v>
      </c>
      <c r="B137" s="9" t="s">
        <v>226</v>
      </c>
      <c r="C137" s="9" t="s">
        <v>29</v>
      </c>
      <c r="D137" s="9" t="s">
        <v>208</v>
      </c>
      <c r="E137" s="9" t="s">
        <v>48</v>
      </c>
      <c r="F137" s="9" t="s">
        <v>227</v>
      </c>
      <c r="G137" s="9" t="s">
        <v>210</v>
      </c>
      <c r="H137" s="10" t="n">
        <v>1.663</v>
      </c>
      <c r="I137" s="9" t="str">
        <f aca="false">IF(OR(G137="links",G137="gegen UZS"),INDEX(Bezugspunkte!$C:$C,MATCH(F137,Bezugspunkte!$A:$A,0)),INDEX(Bezugspunkte!$E:$E,MATCH(F137,Bezugspunkte!$A:$A,0)))</f>
        <v>KA06</v>
      </c>
      <c r="J137" s="10" t="n">
        <f aca="false">IF(OR(G137="links",G137="gegen UZS"),INDEX(Bezugspunkte!$D:$D,MATCH(F137,Bezugspunkte!$A:$A,0)),INDEX(Bezugspunkte!$F:$F,MATCH(F137,Bezugspunkte!$A:$A,0)))</f>
        <v>7.94</v>
      </c>
      <c r="K137" s="10" t="n">
        <f aca="false">J137-H137</f>
        <v>6.277</v>
      </c>
      <c r="L137" s="10" t="n">
        <f aca="false">IF(AND(F137=F136,G137=G136),H137-H136,H137)</f>
        <v>1.663</v>
      </c>
      <c r="M137" s="10" t="n">
        <v>33.056</v>
      </c>
      <c r="N137" s="10" t="n">
        <v>24.392</v>
      </c>
    </row>
    <row r="138" customFormat="false" ht="15" hidden="false" customHeight="false" outlineLevel="0" collapsed="false">
      <c r="A138" s="9" t="n">
        <v>137</v>
      </c>
      <c r="B138" s="9" t="s">
        <v>228</v>
      </c>
      <c r="C138" s="9" t="s">
        <v>37</v>
      </c>
      <c r="D138" s="9" t="s">
        <v>78</v>
      </c>
      <c r="E138" s="9" t="s">
        <v>48</v>
      </c>
      <c r="F138" s="9" t="s">
        <v>227</v>
      </c>
      <c r="G138" s="9" t="s">
        <v>210</v>
      </c>
      <c r="H138" s="10" t="n">
        <v>3.967</v>
      </c>
      <c r="I138" s="9" t="str">
        <f aca="false">IF(OR(G138="links",G138="gegen UZS"),INDEX(Bezugspunkte!$C:$C,MATCH(F138,Bezugspunkte!$A:$A,0)),INDEX(Bezugspunkte!$E:$E,MATCH(F138,Bezugspunkte!$A:$A,0)))</f>
        <v>KA06</v>
      </c>
      <c r="J138" s="10" t="n">
        <f aca="false">IF(OR(G138="links",G138="gegen UZS"),INDEX(Bezugspunkte!$D:$D,MATCH(F138,Bezugspunkte!$A:$A,0)),INDEX(Bezugspunkte!$F:$F,MATCH(F138,Bezugspunkte!$A:$A,0)))</f>
        <v>7.94</v>
      </c>
      <c r="K138" s="10" t="n">
        <f aca="false">J138-H138</f>
        <v>3.973</v>
      </c>
      <c r="L138" s="10" t="n">
        <f aca="false">IF(AND(F138=F137,G138=G137),H138-H137,H138)</f>
        <v>2.304</v>
      </c>
      <c r="M138" s="10" t="n">
        <v>33.155</v>
      </c>
      <c r="N138" s="10" t="n">
        <v>26.74</v>
      </c>
    </row>
    <row r="139" customFormat="false" ht="15" hidden="false" customHeight="false" outlineLevel="0" collapsed="false">
      <c r="A139" s="9" t="n">
        <v>138</v>
      </c>
      <c r="B139" s="9" t="s">
        <v>229</v>
      </c>
      <c r="C139" s="9" t="s">
        <v>29</v>
      </c>
      <c r="D139" s="9" t="s">
        <v>208</v>
      </c>
      <c r="E139" s="9" t="s">
        <v>48</v>
      </c>
      <c r="F139" s="9" t="s">
        <v>227</v>
      </c>
      <c r="G139" s="9" t="s">
        <v>210</v>
      </c>
      <c r="H139" s="10" t="n">
        <v>6.207</v>
      </c>
      <c r="I139" s="9" t="str">
        <f aca="false">IF(OR(G139="links",G139="gegen UZS"),INDEX(Bezugspunkte!$C:$C,MATCH(F139,Bezugspunkte!$A:$A,0)),INDEX(Bezugspunkte!$E:$E,MATCH(F139,Bezugspunkte!$A:$A,0)))</f>
        <v>KA06</v>
      </c>
      <c r="J139" s="10" t="n">
        <f aca="false">IF(OR(G139="links",G139="gegen UZS"),INDEX(Bezugspunkte!$D:$D,MATCH(F139,Bezugspunkte!$A:$A,0)),INDEX(Bezugspunkte!$F:$F,MATCH(F139,Bezugspunkte!$A:$A,0)))</f>
        <v>7.94</v>
      </c>
      <c r="K139" s="10" t="n">
        <f aca="false">J139-H139</f>
        <v>1.733</v>
      </c>
      <c r="L139" s="10" t="n">
        <f aca="false">IF(AND(F139=F138,G139=G138),H139-H138,H139)</f>
        <v>2.24</v>
      </c>
      <c r="M139" s="10" t="n">
        <v>32.408</v>
      </c>
      <c r="N139" s="10" t="n">
        <v>28.891</v>
      </c>
    </row>
    <row r="140" customFormat="false" ht="15" hidden="false" customHeight="false" outlineLevel="0" collapsed="false">
      <c r="A140" s="9" t="n">
        <v>139</v>
      </c>
      <c r="B140" s="9" t="s">
        <v>230</v>
      </c>
      <c r="C140" s="9" t="s">
        <v>37</v>
      </c>
      <c r="D140" s="9" t="s">
        <v>78</v>
      </c>
      <c r="E140" s="9" t="s">
        <v>48</v>
      </c>
      <c r="F140" s="9" t="s">
        <v>227</v>
      </c>
      <c r="G140" s="9" t="s">
        <v>212</v>
      </c>
      <c r="H140" s="10" t="n">
        <v>0.402</v>
      </c>
      <c r="I140" s="9" t="str">
        <f aca="false">IF(OR(G140="links",G140="gegen UZS"),INDEX(Bezugspunkte!$C:$C,MATCH(F140,Bezugspunkte!$A:$A,0)),INDEX(Bezugspunkte!$E:$E,MATCH(F140,Bezugspunkte!$A:$A,0)))</f>
        <v>KA08</v>
      </c>
      <c r="J140" s="10" t="n">
        <f aca="false">IF(OR(G140="links",G140="gegen UZS"),INDEX(Bezugspunkte!$D:$D,MATCH(F140,Bezugspunkte!$A:$A,0)),INDEX(Bezugspunkte!$F:$F,MATCH(F140,Bezugspunkte!$A:$A,0)))</f>
        <v>7.563</v>
      </c>
      <c r="K140" s="10" t="n">
        <f aca="false">J140-H140</f>
        <v>7.161</v>
      </c>
      <c r="L140" s="10" t="n">
        <f aca="false">IF(AND(F140=F139,G140=G139),H140-H139,H140)</f>
        <v>0.402</v>
      </c>
      <c r="M140" s="10" t="n">
        <v>33.557</v>
      </c>
      <c r="N140" s="10" t="n">
        <v>22.39</v>
      </c>
    </row>
    <row r="141" customFormat="false" ht="15" hidden="false" customHeight="false" outlineLevel="0" collapsed="false">
      <c r="A141" s="9" t="n">
        <v>140</v>
      </c>
      <c r="B141" s="9" t="s">
        <v>231</v>
      </c>
      <c r="C141" s="9" t="s">
        <v>29</v>
      </c>
      <c r="D141" s="9" t="s">
        <v>208</v>
      </c>
      <c r="E141" s="9" t="s">
        <v>48</v>
      </c>
      <c r="F141" s="9" t="s">
        <v>227</v>
      </c>
      <c r="G141" s="9" t="s">
        <v>212</v>
      </c>
      <c r="H141" s="10" t="n">
        <v>2.39</v>
      </c>
      <c r="I141" s="9" t="str">
        <f aca="false">IF(OR(G141="links",G141="gegen UZS"),INDEX(Bezugspunkte!$C:$C,MATCH(F141,Bezugspunkte!$A:$A,0)),INDEX(Bezugspunkte!$E:$E,MATCH(F141,Bezugspunkte!$A:$A,0)))</f>
        <v>KA08</v>
      </c>
      <c r="J141" s="10" t="n">
        <f aca="false">IF(OR(G141="links",G141="gegen UZS"),INDEX(Bezugspunkte!$D:$D,MATCH(F141,Bezugspunkte!$A:$A,0)),INDEX(Bezugspunkte!$F:$F,MATCH(F141,Bezugspunkte!$A:$A,0)))</f>
        <v>7.563</v>
      </c>
      <c r="K141" s="10" t="n">
        <f aca="false">J141-H141</f>
        <v>5.173</v>
      </c>
      <c r="L141" s="10" t="n">
        <f aca="false">IF(AND(F141=F140,G141=G140),H141-H140,H141)</f>
        <v>1.988</v>
      </c>
      <c r="M141" s="10" t="n">
        <v>33.451</v>
      </c>
      <c r="N141" s="10" t="n">
        <v>20.394</v>
      </c>
    </row>
    <row r="142" customFormat="false" ht="15" hidden="false" customHeight="false" outlineLevel="0" collapsed="false">
      <c r="A142" s="9" t="n">
        <v>141</v>
      </c>
      <c r="B142" s="9" t="s">
        <v>232</v>
      </c>
      <c r="C142" s="9" t="s">
        <v>29</v>
      </c>
      <c r="D142" s="9" t="s">
        <v>208</v>
      </c>
      <c r="E142" s="9" t="s">
        <v>48</v>
      </c>
      <c r="F142" s="9" t="s">
        <v>227</v>
      </c>
      <c r="G142" s="9" t="s">
        <v>212</v>
      </c>
      <c r="H142" s="10" t="n">
        <v>6.097</v>
      </c>
      <c r="I142" s="9" t="str">
        <f aca="false">IF(OR(G142="links",G142="gegen UZS"),INDEX(Bezugspunkte!$C:$C,MATCH(F142,Bezugspunkte!$A:$A,0)),INDEX(Bezugspunkte!$E:$E,MATCH(F142,Bezugspunkte!$A:$A,0)))</f>
        <v>KA08</v>
      </c>
      <c r="J142" s="10" t="n">
        <f aca="false">IF(OR(G142="links",G142="gegen UZS"),INDEX(Bezugspunkte!$D:$D,MATCH(F142,Bezugspunkte!$A:$A,0)),INDEX(Bezugspunkte!$F:$F,MATCH(F142,Bezugspunkte!$A:$A,0)))</f>
        <v>7.563</v>
      </c>
      <c r="K142" s="10" t="n">
        <f aca="false">J142-H142</f>
        <v>1.466</v>
      </c>
      <c r="L142" s="10" t="n">
        <f aca="false">IF(AND(F142=F141,G142=G141),H142-H141,H142)</f>
        <v>3.707</v>
      </c>
      <c r="M142" s="10" t="n">
        <v>33.656</v>
      </c>
      <c r="N142" s="10" t="n">
        <v>16.692</v>
      </c>
    </row>
    <row r="143" customFormat="false" ht="15" hidden="false" customHeight="false" outlineLevel="0" collapsed="false">
      <c r="A143" s="9" t="n">
        <v>142</v>
      </c>
      <c r="B143" s="9" t="s">
        <v>233</v>
      </c>
      <c r="C143" s="9" t="s">
        <v>29</v>
      </c>
      <c r="D143" s="9" t="s">
        <v>208</v>
      </c>
      <c r="E143" s="9" t="s">
        <v>48</v>
      </c>
      <c r="F143" s="9" t="s">
        <v>234</v>
      </c>
      <c r="G143" s="9" t="s">
        <v>210</v>
      </c>
      <c r="H143" s="10" t="n">
        <v>3.11</v>
      </c>
      <c r="I143" s="9" t="str">
        <f aca="false">IF(OR(G143="links",G143="gegen UZS"),INDEX(Bezugspunkte!$C:$C,MATCH(F143,Bezugspunkte!$A:$A,0)),INDEX(Bezugspunkte!$E:$E,MATCH(F143,Bezugspunkte!$A:$A,0)))</f>
        <v>KA08</v>
      </c>
      <c r="J143" s="10" t="n">
        <f aca="false">IF(OR(G143="links",G143="gegen UZS"),INDEX(Bezugspunkte!$D:$D,MATCH(F143,Bezugspunkte!$A:$A,0)),INDEX(Bezugspunkte!$F:$F,MATCH(F143,Bezugspunkte!$A:$A,0)))</f>
        <v>31.238</v>
      </c>
      <c r="K143" s="10" t="n">
        <f aca="false">J143-H143</f>
        <v>28.128</v>
      </c>
      <c r="L143" s="10" t="n">
        <f aca="false">IF(AND(F143=F142,G143=G142),H143-H142,H143)</f>
        <v>3.11</v>
      </c>
      <c r="M143" s="10" t="n">
        <v>33.656</v>
      </c>
      <c r="N143" s="10" t="n">
        <v>-12.887</v>
      </c>
    </row>
    <row r="144" customFormat="false" ht="15" hidden="false" customHeight="false" outlineLevel="0" collapsed="false">
      <c r="A144" s="9" t="n">
        <v>143</v>
      </c>
      <c r="B144" s="9" t="s">
        <v>235</v>
      </c>
      <c r="C144" s="9" t="s">
        <v>37</v>
      </c>
      <c r="D144" s="9" t="s">
        <v>78</v>
      </c>
      <c r="E144" s="9" t="s">
        <v>48</v>
      </c>
      <c r="F144" s="9" t="s">
        <v>234</v>
      </c>
      <c r="G144" s="9" t="s">
        <v>210</v>
      </c>
      <c r="H144" s="10" t="n">
        <v>4.062</v>
      </c>
      <c r="I144" s="9" t="str">
        <f aca="false">IF(OR(G144="links",G144="gegen UZS"),INDEX(Bezugspunkte!$C:$C,MATCH(F144,Bezugspunkte!$A:$A,0)),INDEX(Bezugspunkte!$E:$E,MATCH(F144,Bezugspunkte!$A:$A,0)))</f>
        <v>KA08</v>
      </c>
      <c r="J144" s="10" t="n">
        <f aca="false">IF(OR(G144="links",G144="gegen UZS"),INDEX(Bezugspunkte!$D:$D,MATCH(F144,Bezugspunkte!$A:$A,0)),INDEX(Bezugspunkte!$F:$F,MATCH(F144,Bezugspunkte!$A:$A,0)))</f>
        <v>31.238</v>
      </c>
      <c r="K144" s="10" t="n">
        <f aca="false">J144-H144</f>
        <v>27.176</v>
      </c>
      <c r="L144" s="10" t="n">
        <f aca="false">IF(AND(F144=F143,G144=G143),H144-H143,H144)</f>
        <v>0.952</v>
      </c>
      <c r="M144" s="10" t="n">
        <v>33.853</v>
      </c>
      <c r="N144" s="10" t="n">
        <v>-11.935</v>
      </c>
    </row>
    <row r="145" customFormat="false" ht="15" hidden="false" customHeight="false" outlineLevel="0" collapsed="false">
      <c r="A145" s="9" t="n">
        <v>144</v>
      </c>
      <c r="B145" s="9" t="s">
        <v>236</v>
      </c>
      <c r="C145" s="9" t="s">
        <v>29</v>
      </c>
      <c r="D145" s="9" t="s">
        <v>208</v>
      </c>
      <c r="E145" s="9" t="s">
        <v>48</v>
      </c>
      <c r="F145" s="9" t="s">
        <v>234</v>
      </c>
      <c r="G145" s="9" t="s">
        <v>210</v>
      </c>
      <c r="H145" s="10" t="n">
        <v>6.812</v>
      </c>
      <c r="I145" s="9" t="str">
        <f aca="false">IF(OR(G145="links",G145="gegen UZS"),INDEX(Bezugspunkte!$C:$C,MATCH(F145,Bezugspunkte!$A:$A,0)),INDEX(Bezugspunkte!$E:$E,MATCH(F145,Bezugspunkte!$A:$A,0)))</f>
        <v>KA08</v>
      </c>
      <c r="J145" s="10" t="n">
        <f aca="false">IF(OR(G145="links",G145="gegen UZS"),INDEX(Bezugspunkte!$D:$D,MATCH(F145,Bezugspunkte!$A:$A,0)),INDEX(Bezugspunkte!$F:$F,MATCH(F145,Bezugspunkte!$A:$A,0)))</f>
        <v>31.238</v>
      </c>
      <c r="K145" s="10" t="n">
        <f aca="false">J145-H145</f>
        <v>24.426</v>
      </c>
      <c r="L145" s="10" t="n">
        <f aca="false">IF(AND(F145=F144,G145=G144),H145-H144,H145)</f>
        <v>2.75</v>
      </c>
      <c r="M145" s="10" t="n">
        <v>33.656</v>
      </c>
      <c r="N145" s="10" t="n">
        <v>-9.185</v>
      </c>
    </row>
    <row r="146" customFormat="false" ht="15" hidden="false" customHeight="false" outlineLevel="0" collapsed="false">
      <c r="A146" s="9" t="n">
        <v>145</v>
      </c>
      <c r="B146" s="9" t="s">
        <v>237</v>
      </c>
      <c r="C146" s="9" t="s">
        <v>29</v>
      </c>
      <c r="D146" s="9" t="s">
        <v>208</v>
      </c>
      <c r="E146" s="9" t="s">
        <v>48</v>
      </c>
      <c r="F146" s="9" t="s">
        <v>234</v>
      </c>
      <c r="G146" s="9" t="s">
        <v>210</v>
      </c>
      <c r="H146" s="10" t="n">
        <v>10.506</v>
      </c>
      <c r="I146" s="9" t="str">
        <f aca="false">IF(OR(G146="links",G146="gegen UZS"),INDEX(Bezugspunkte!$C:$C,MATCH(F146,Bezugspunkte!$A:$A,0)),INDEX(Bezugspunkte!$E:$E,MATCH(F146,Bezugspunkte!$A:$A,0)))</f>
        <v>KA08</v>
      </c>
      <c r="J146" s="10" t="n">
        <f aca="false">IF(OR(G146="links",G146="gegen UZS"),INDEX(Bezugspunkte!$D:$D,MATCH(F146,Bezugspunkte!$A:$A,0)),INDEX(Bezugspunkte!$F:$F,MATCH(F146,Bezugspunkte!$A:$A,0)))</f>
        <v>31.238</v>
      </c>
      <c r="K146" s="10" t="n">
        <f aca="false">J146-H146</f>
        <v>20.732</v>
      </c>
      <c r="L146" s="10" t="n">
        <f aca="false">IF(AND(F146=F145,G146=G145),H146-H145,H146)</f>
        <v>3.694</v>
      </c>
      <c r="M146" s="10" t="n">
        <v>33.656</v>
      </c>
      <c r="N146" s="10" t="n">
        <v>-5.491</v>
      </c>
    </row>
    <row r="147" customFormat="false" ht="15" hidden="false" customHeight="false" outlineLevel="0" collapsed="false">
      <c r="A147" s="9" t="n">
        <v>146</v>
      </c>
      <c r="B147" s="9" t="s">
        <v>238</v>
      </c>
      <c r="C147" s="9" t="s">
        <v>29</v>
      </c>
      <c r="D147" s="9" t="s">
        <v>208</v>
      </c>
      <c r="E147" s="9" t="s">
        <v>48</v>
      </c>
      <c r="F147" s="9" t="s">
        <v>234</v>
      </c>
      <c r="G147" s="9" t="s">
        <v>210</v>
      </c>
      <c r="H147" s="10" t="n">
        <v>14.208</v>
      </c>
      <c r="I147" s="9" t="str">
        <f aca="false">IF(OR(G147="links",G147="gegen UZS"),INDEX(Bezugspunkte!$C:$C,MATCH(F147,Bezugspunkte!$A:$A,0)),INDEX(Bezugspunkte!$E:$E,MATCH(F147,Bezugspunkte!$A:$A,0)))</f>
        <v>KA08</v>
      </c>
      <c r="J147" s="10" t="n">
        <f aca="false">IF(OR(G147="links",G147="gegen UZS"),INDEX(Bezugspunkte!$D:$D,MATCH(F147,Bezugspunkte!$A:$A,0)),INDEX(Bezugspunkte!$F:$F,MATCH(F147,Bezugspunkte!$A:$A,0)))</f>
        <v>31.238</v>
      </c>
      <c r="K147" s="10" t="n">
        <f aca="false">J147-H147</f>
        <v>17.03</v>
      </c>
      <c r="L147" s="10" t="n">
        <f aca="false">IF(AND(F147=F146,G147=G146),H147-H146,H147)</f>
        <v>3.702</v>
      </c>
      <c r="M147" s="10" t="n">
        <v>33.656</v>
      </c>
      <c r="N147" s="10" t="n">
        <v>-1.789</v>
      </c>
    </row>
    <row r="148" customFormat="false" ht="15" hidden="false" customHeight="false" outlineLevel="0" collapsed="false">
      <c r="A148" s="9" t="n">
        <v>147</v>
      </c>
      <c r="B148" s="9" t="s">
        <v>239</v>
      </c>
      <c r="C148" s="9" t="s">
        <v>37</v>
      </c>
      <c r="D148" s="9" t="s">
        <v>78</v>
      </c>
      <c r="E148" s="9" t="s">
        <v>48</v>
      </c>
      <c r="F148" s="9" t="s">
        <v>234</v>
      </c>
      <c r="G148" s="9" t="s">
        <v>210</v>
      </c>
      <c r="H148" s="10" t="n">
        <v>15.104</v>
      </c>
      <c r="I148" s="9" t="str">
        <f aca="false">IF(OR(G148="links",G148="gegen UZS"),INDEX(Bezugspunkte!$C:$C,MATCH(F148,Bezugspunkte!$A:$A,0)),INDEX(Bezugspunkte!$E:$E,MATCH(F148,Bezugspunkte!$A:$A,0)))</f>
        <v>KA08</v>
      </c>
      <c r="J148" s="10" t="n">
        <f aca="false">IF(OR(G148="links",G148="gegen UZS"),INDEX(Bezugspunkte!$D:$D,MATCH(F148,Bezugspunkte!$A:$A,0)),INDEX(Bezugspunkte!$F:$F,MATCH(F148,Bezugspunkte!$A:$A,0)))</f>
        <v>31.238</v>
      </c>
      <c r="K148" s="10" t="n">
        <f aca="false">J148-H148</f>
        <v>16.134</v>
      </c>
      <c r="L148" s="10" t="n">
        <f aca="false">IF(AND(F148=F147,G148=G147),H148-H147,H148)</f>
        <v>0.895999999999999</v>
      </c>
      <c r="M148" s="10" t="n">
        <v>33.754</v>
      </c>
      <c r="N148" s="10" t="n">
        <v>-0.893</v>
      </c>
    </row>
    <row r="149" customFormat="false" ht="15" hidden="false" customHeight="false" outlineLevel="0" collapsed="false">
      <c r="A149" s="9" t="n">
        <v>148</v>
      </c>
      <c r="B149" s="9" t="s">
        <v>240</v>
      </c>
      <c r="C149" s="9" t="s">
        <v>37</v>
      </c>
      <c r="D149" s="9" t="s">
        <v>78</v>
      </c>
      <c r="E149" s="9" t="s">
        <v>48</v>
      </c>
      <c r="F149" s="9" t="s">
        <v>234</v>
      </c>
      <c r="G149" s="9" t="s">
        <v>210</v>
      </c>
      <c r="H149" s="10" t="n">
        <v>17</v>
      </c>
      <c r="I149" s="9" t="str">
        <f aca="false">IF(OR(G149="links",G149="gegen UZS"),INDEX(Bezugspunkte!$C:$C,MATCH(F149,Bezugspunkte!$A:$A,0)),INDEX(Bezugspunkte!$E:$E,MATCH(F149,Bezugspunkte!$A:$A,0)))</f>
        <v>KA08</v>
      </c>
      <c r="J149" s="10" t="n">
        <f aca="false">IF(OR(G149="links",G149="gegen UZS"),INDEX(Bezugspunkte!$D:$D,MATCH(F149,Bezugspunkte!$A:$A,0)),INDEX(Bezugspunkte!$F:$F,MATCH(F149,Bezugspunkte!$A:$A,0)))</f>
        <v>31.238</v>
      </c>
      <c r="K149" s="10" t="n">
        <f aca="false">J149-H149</f>
        <v>14.238</v>
      </c>
      <c r="L149" s="10" t="n">
        <f aca="false">IF(AND(F149=F148,G149=G148),H149-H148,H149)</f>
        <v>1.896</v>
      </c>
      <c r="M149" s="10" t="n">
        <v>33.754</v>
      </c>
      <c r="N149" s="10" t="n">
        <v>1.003</v>
      </c>
    </row>
    <row r="150" customFormat="false" ht="15" hidden="false" customHeight="false" outlineLevel="0" collapsed="false">
      <c r="A150" s="9" t="n">
        <v>149</v>
      </c>
      <c r="B150" s="9" t="s">
        <v>241</v>
      </c>
      <c r="C150" s="9" t="s">
        <v>29</v>
      </c>
      <c r="D150" s="9" t="s">
        <v>208</v>
      </c>
      <c r="E150" s="9" t="s">
        <v>48</v>
      </c>
      <c r="F150" s="9" t="s">
        <v>234</v>
      </c>
      <c r="G150" s="9" t="s">
        <v>210</v>
      </c>
      <c r="H150" s="10" t="n">
        <v>17.903</v>
      </c>
      <c r="I150" s="9" t="str">
        <f aca="false">IF(OR(G150="links",G150="gegen UZS"),INDEX(Bezugspunkte!$C:$C,MATCH(F150,Bezugspunkte!$A:$A,0)),INDEX(Bezugspunkte!$E:$E,MATCH(F150,Bezugspunkte!$A:$A,0)))</f>
        <v>KA08</v>
      </c>
      <c r="J150" s="10" t="n">
        <f aca="false">IF(OR(G150="links",G150="gegen UZS"),INDEX(Bezugspunkte!$D:$D,MATCH(F150,Bezugspunkte!$A:$A,0)),INDEX(Bezugspunkte!$F:$F,MATCH(F150,Bezugspunkte!$A:$A,0)))</f>
        <v>31.238</v>
      </c>
      <c r="K150" s="10" t="n">
        <f aca="false">J150-H150</f>
        <v>13.335</v>
      </c>
      <c r="L150" s="10" t="n">
        <f aca="false">IF(AND(F150=F149,G150=G149),H150-H149,H150)</f>
        <v>0.902999999999999</v>
      </c>
      <c r="M150" s="10" t="n">
        <v>33.656</v>
      </c>
      <c r="N150" s="10" t="n">
        <v>1.906</v>
      </c>
    </row>
    <row r="151" customFormat="false" ht="15" hidden="false" customHeight="false" outlineLevel="0" collapsed="false">
      <c r="A151" s="9" t="n">
        <v>150</v>
      </c>
      <c r="B151" s="9" t="s">
        <v>242</v>
      </c>
      <c r="C151" s="9" t="s">
        <v>29</v>
      </c>
      <c r="D151" s="9" t="s">
        <v>208</v>
      </c>
      <c r="E151" s="9" t="s">
        <v>48</v>
      </c>
      <c r="F151" s="9" t="s">
        <v>234</v>
      </c>
      <c r="G151" s="9" t="s">
        <v>210</v>
      </c>
      <c r="H151" s="10" t="n">
        <v>21.598</v>
      </c>
      <c r="I151" s="9" t="str">
        <f aca="false">IF(OR(G151="links",G151="gegen UZS"),INDEX(Bezugspunkte!$C:$C,MATCH(F151,Bezugspunkte!$A:$A,0)),INDEX(Bezugspunkte!$E:$E,MATCH(F151,Bezugspunkte!$A:$A,0)))</f>
        <v>KA08</v>
      </c>
      <c r="J151" s="10" t="n">
        <f aca="false">IF(OR(G151="links",G151="gegen UZS"),INDEX(Bezugspunkte!$D:$D,MATCH(F151,Bezugspunkte!$A:$A,0)),INDEX(Bezugspunkte!$F:$F,MATCH(F151,Bezugspunkte!$A:$A,0)))</f>
        <v>31.238</v>
      </c>
      <c r="K151" s="10" t="n">
        <f aca="false">J151-H151</f>
        <v>9.64</v>
      </c>
      <c r="L151" s="10" t="n">
        <f aca="false">IF(AND(F151=F150,G151=G150),H151-H150,H151)</f>
        <v>3.695</v>
      </c>
      <c r="M151" s="10" t="n">
        <v>33.656</v>
      </c>
      <c r="N151" s="10" t="n">
        <v>5.601</v>
      </c>
    </row>
    <row r="152" customFormat="false" ht="15" hidden="false" customHeight="false" outlineLevel="0" collapsed="false">
      <c r="A152" s="9" t="n">
        <v>151</v>
      </c>
      <c r="B152" s="9" t="s">
        <v>243</v>
      </c>
      <c r="C152" s="9" t="s">
        <v>29</v>
      </c>
      <c r="D152" s="9" t="s">
        <v>208</v>
      </c>
      <c r="E152" s="9" t="s">
        <v>48</v>
      </c>
      <c r="F152" s="9" t="s">
        <v>234</v>
      </c>
      <c r="G152" s="9" t="s">
        <v>210</v>
      </c>
      <c r="H152" s="10" t="n">
        <v>25.3</v>
      </c>
      <c r="I152" s="9" t="str">
        <f aca="false">IF(OR(G152="links",G152="gegen UZS"),INDEX(Bezugspunkte!$C:$C,MATCH(F152,Bezugspunkte!$A:$A,0)),INDEX(Bezugspunkte!$E:$E,MATCH(F152,Bezugspunkte!$A:$A,0)))</f>
        <v>KA08</v>
      </c>
      <c r="J152" s="10" t="n">
        <f aca="false">IF(OR(G152="links",G152="gegen UZS"),INDEX(Bezugspunkte!$D:$D,MATCH(F152,Bezugspunkte!$A:$A,0)),INDEX(Bezugspunkte!$F:$F,MATCH(F152,Bezugspunkte!$A:$A,0)))</f>
        <v>31.238</v>
      </c>
      <c r="K152" s="10" t="n">
        <f aca="false">J152-H152</f>
        <v>5.938</v>
      </c>
      <c r="L152" s="10" t="n">
        <f aca="false">IF(AND(F152=F151,G152=G151),H152-H151,H152)</f>
        <v>3.702</v>
      </c>
      <c r="M152" s="10" t="n">
        <v>33.656</v>
      </c>
      <c r="N152" s="10" t="n">
        <v>9.303</v>
      </c>
    </row>
    <row r="153" customFormat="false" ht="15" hidden="false" customHeight="false" outlineLevel="0" collapsed="false">
      <c r="A153" s="9" t="n">
        <v>152</v>
      </c>
      <c r="B153" s="9" t="s">
        <v>244</v>
      </c>
      <c r="C153" s="9" t="s">
        <v>37</v>
      </c>
      <c r="D153" s="9" t="s">
        <v>78</v>
      </c>
      <c r="E153" s="9" t="s">
        <v>48</v>
      </c>
      <c r="F153" s="9" t="s">
        <v>234</v>
      </c>
      <c r="G153" s="9" t="s">
        <v>210</v>
      </c>
      <c r="H153" s="10" t="n">
        <v>28.05</v>
      </c>
      <c r="I153" s="9" t="str">
        <f aca="false">IF(OR(G153="links",G153="gegen UZS"),INDEX(Bezugspunkte!$C:$C,MATCH(F153,Bezugspunkte!$A:$A,0)),INDEX(Bezugspunkte!$E:$E,MATCH(F153,Bezugspunkte!$A:$A,0)))</f>
        <v>KA08</v>
      </c>
      <c r="J153" s="10" t="n">
        <f aca="false">IF(OR(G153="links",G153="gegen UZS"),INDEX(Bezugspunkte!$D:$D,MATCH(F153,Bezugspunkte!$A:$A,0)),INDEX(Bezugspunkte!$F:$F,MATCH(F153,Bezugspunkte!$A:$A,0)))</f>
        <v>31.238</v>
      </c>
      <c r="K153" s="10" t="n">
        <f aca="false">J153-H153</f>
        <v>3.188</v>
      </c>
      <c r="L153" s="10" t="n">
        <f aca="false">IF(AND(F153=F152,G153=G152),H153-H152,H153)</f>
        <v>2.75</v>
      </c>
      <c r="M153" s="10" t="n">
        <v>33.853</v>
      </c>
      <c r="N153" s="10" t="n">
        <v>12.053</v>
      </c>
    </row>
    <row r="154" customFormat="false" ht="15" hidden="false" customHeight="false" outlineLevel="0" collapsed="false">
      <c r="A154" s="9" t="n">
        <v>153</v>
      </c>
      <c r="B154" s="9" t="s">
        <v>245</v>
      </c>
      <c r="C154" s="9" t="s">
        <v>29</v>
      </c>
      <c r="D154" s="9" t="s">
        <v>208</v>
      </c>
      <c r="E154" s="9" t="s">
        <v>48</v>
      </c>
      <c r="F154" s="9" t="s">
        <v>234</v>
      </c>
      <c r="G154" s="9" t="s">
        <v>210</v>
      </c>
      <c r="H154" s="10" t="n">
        <v>28.994</v>
      </c>
      <c r="I154" s="9" t="str">
        <f aca="false">IF(OR(G154="links",G154="gegen UZS"),INDEX(Bezugspunkte!$C:$C,MATCH(F154,Bezugspunkte!$A:$A,0)),INDEX(Bezugspunkte!$E:$E,MATCH(F154,Bezugspunkte!$A:$A,0)))</f>
        <v>KA08</v>
      </c>
      <c r="J154" s="10" t="n">
        <f aca="false">IF(OR(G154="links",G154="gegen UZS"),INDEX(Bezugspunkte!$D:$D,MATCH(F154,Bezugspunkte!$A:$A,0)),INDEX(Bezugspunkte!$F:$F,MATCH(F154,Bezugspunkte!$A:$A,0)))</f>
        <v>31.238</v>
      </c>
      <c r="K154" s="10" t="n">
        <f aca="false">J154-H154</f>
        <v>2.244</v>
      </c>
      <c r="L154" s="10" t="n">
        <f aca="false">IF(AND(F154=F153,G154=G153),H154-H153,H154)</f>
        <v>0.943999999999999</v>
      </c>
      <c r="M154" s="10" t="n">
        <v>33.656</v>
      </c>
      <c r="N154" s="10" t="n">
        <v>12.997</v>
      </c>
    </row>
    <row r="155" customFormat="false" ht="15" hidden="false" customHeight="false" outlineLevel="0" collapsed="false">
      <c r="A155" s="9" t="n">
        <v>154</v>
      </c>
      <c r="B155" s="9" t="s">
        <v>246</v>
      </c>
      <c r="C155" s="9" t="s">
        <v>29</v>
      </c>
      <c r="D155" s="9" t="s">
        <v>208</v>
      </c>
      <c r="E155" s="9" t="s">
        <v>48</v>
      </c>
      <c r="F155" s="9" t="s">
        <v>234</v>
      </c>
      <c r="G155" s="9" t="s">
        <v>212</v>
      </c>
      <c r="H155" s="10" t="n">
        <v>0.609</v>
      </c>
      <c r="I155" s="9" t="str">
        <f aca="false">IF(OR(G155="links",G155="gegen UZS"),INDEX(Bezugspunkte!$C:$C,MATCH(F155,Bezugspunkte!$A:$A,0)),INDEX(Bezugspunkte!$E:$E,MATCH(F155,Bezugspunkte!$A:$A,0)))</f>
        <v>KA10</v>
      </c>
      <c r="J155" s="10" t="n">
        <f aca="false">IF(OR(G155="links",G155="gegen UZS"),INDEX(Bezugspunkte!$D:$D,MATCH(F155,Bezugspunkte!$A:$A,0)),INDEX(Bezugspunkte!$F:$F,MATCH(F155,Bezugspunkte!$A:$A,0)))</f>
        <v>7.468</v>
      </c>
      <c r="K155" s="10" t="n">
        <f aca="false">J155-H155</f>
        <v>6.859</v>
      </c>
      <c r="L155" s="10" t="n">
        <f aca="false">IF(AND(F155=F154,G155=G154),H155-H154,H155)</f>
        <v>0.609</v>
      </c>
      <c r="M155" s="10" t="n">
        <v>33.656</v>
      </c>
      <c r="N155" s="10" t="n">
        <v>-16.589</v>
      </c>
    </row>
    <row r="156" customFormat="false" ht="15" hidden="false" customHeight="false" outlineLevel="0" collapsed="false">
      <c r="A156" s="9" t="n">
        <v>155</v>
      </c>
      <c r="B156" s="9" t="s">
        <v>247</v>
      </c>
      <c r="C156" s="9" t="s">
        <v>29</v>
      </c>
      <c r="D156" s="9" t="s">
        <v>208</v>
      </c>
      <c r="E156" s="9" t="s">
        <v>48</v>
      </c>
      <c r="F156" s="9" t="s">
        <v>234</v>
      </c>
      <c r="G156" s="9" t="s">
        <v>212</v>
      </c>
      <c r="H156" s="10" t="n">
        <v>4.302</v>
      </c>
      <c r="I156" s="9" t="str">
        <f aca="false">IF(OR(G156="links",G156="gegen UZS"),INDEX(Bezugspunkte!$C:$C,MATCH(F156,Bezugspunkte!$A:$A,0)),INDEX(Bezugspunkte!$E:$E,MATCH(F156,Bezugspunkte!$A:$A,0)))</f>
        <v>KA10</v>
      </c>
      <c r="J156" s="10" t="n">
        <f aca="false">IF(OR(G156="links",G156="gegen UZS"),INDEX(Bezugspunkte!$D:$D,MATCH(F156,Bezugspunkte!$A:$A,0)),INDEX(Bezugspunkte!$F:$F,MATCH(F156,Bezugspunkte!$A:$A,0)))</f>
        <v>7.468</v>
      </c>
      <c r="K156" s="10" t="n">
        <f aca="false">J156-H156</f>
        <v>3.166</v>
      </c>
      <c r="L156" s="10" t="n">
        <f aca="false">IF(AND(F156=F155,G156=G155),H156-H155,H156)</f>
        <v>3.693</v>
      </c>
      <c r="M156" s="10" t="n">
        <v>33.451</v>
      </c>
      <c r="N156" s="10" t="n">
        <v>-20.277</v>
      </c>
    </row>
    <row r="157" customFormat="false" ht="15" hidden="false" customHeight="false" outlineLevel="0" collapsed="false">
      <c r="A157" s="9" t="n">
        <v>156</v>
      </c>
      <c r="B157" s="9" t="s">
        <v>248</v>
      </c>
      <c r="C157" s="9" t="s">
        <v>37</v>
      </c>
      <c r="D157" s="9" t="s">
        <v>78</v>
      </c>
      <c r="E157" s="9" t="s">
        <v>48</v>
      </c>
      <c r="F157" s="9" t="s">
        <v>234</v>
      </c>
      <c r="G157" s="9" t="s">
        <v>212</v>
      </c>
      <c r="H157" s="10" t="n">
        <v>6.294</v>
      </c>
      <c r="I157" s="9" t="str">
        <f aca="false">IF(OR(G157="links",G157="gegen UZS"),INDEX(Bezugspunkte!$C:$C,MATCH(F157,Bezugspunkte!$A:$A,0)),INDEX(Bezugspunkte!$E:$E,MATCH(F157,Bezugspunkte!$A:$A,0)))</f>
        <v>KA10</v>
      </c>
      <c r="J157" s="10" t="n">
        <f aca="false">IF(OR(G157="links",G157="gegen UZS"),INDEX(Bezugspunkte!$D:$D,MATCH(F157,Bezugspunkte!$A:$A,0)),INDEX(Bezugspunkte!$F:$F,MATCH(F157,Bezugspunkte!$A:$A,0)))</f>
        <v>7.468</v>
      </c>
      <c r="K157" s="10" t="n">
        <f aca="false">J157-H157</f>
        <v>1.174</v>
      </c>
      <c r="L157" s="10" t="n">
        <f aca="false">IF(AND(F157=F156,G157=G156),H157-H156,H157)</f>
        <v>1.992</v>
      </c>
      <c r="M157" s="10" t="n">
        <v>33.557</v>
      </c>
      <c r="N157" s="10" t="n">
        <v>-22.279</v>
      </c>
    </row>
    <row r="158" customFormat="false" ht="15" hidden="false" customHeight="false" outlineLevel="0" collapsed="false">
      <c r="A158" s="9" t="n">
        <v>157</v>
      </c>
      <c r="B158" s="9" t="s">
        <v>249</v>
      </c>
      <c r="C158" s="9" t="s">
        <v>29</v>
      </c>
      <c r="D158" s="9" t="s">
        <v>208</v>
      </c>
      <c r="E158" s="9" t="s">
        <v>48</v>
      </c>
      <c r="F158" s="9" t="s">
        <v>250</v>
      </c>
      <c r="G158" s="9" t="s">
        <v>210</v>
      </c>
      <c r="H158" s="10" t="n">
        <v>2.736</v>
      </c>
      <c r="I158" s="9" t="str">
        <f aca="false">IF(OR(G158="links",G158="gegen UZS"),INDEX(Bezugspunkte!$C:$C,MATCH(F158,Bezugspunkte!$A:$A,0)),INDEX(Bezugspunkte!$E:$E,MATCH(F158,Bezugspunkte!$A:$A,0)))</f>
        <v>KA10</v>
      </c>
      <c r="J158" s="10" t="n">
        <f aca="false">IF(OR(G158="links",G158="gegen UZS"),INDEX(Bezugspunkte!$D:$D,MATCH(F158,Bezugspunkte!$A:$A,0)),INDEX(Bezugspunkte!$F:$F,MATCH(F158,Bezugspunkte!$A:$A,0)))</f>
        <v>8.158</v>
      </c>
      <c r="K158" s="10" t="n">
        <f aca="false">J158-H158</f>
        <v>5.422</v>
      </c>
      <c r="L158" s="10" t="n">
        <f aca="false">IF(AND(F158=F157,G158=G157),H158-H157,H158)</f>
        <v>2.736</v>
      </c>
      <c r="M158" s="10" t="n">
        <v>32.408</v>
      </c>
      <c r="N158" s="10" t="n">
        <v>-28.773</v>
      </c>
    </row>
    <row r="159" customFormat="false" ht="15" hidden="false" customHeight="false" outlineLevel="0" collapsed="false">
      <c r="A159" s="9" t="n">
        <v>158</v>
      </c>
      <c r="B159" s="9" t="s">
        <v>251</v>
      </c>
      <c r="C159" s="9" t="s">
        <v>37</v>
      </c>
      <c r="D159" s="9" t="s">
        <v>78</v>
      </c>
      <c r="E159" s="9" t="s">
        <v>48</v>
      </c>
      <c r="F159" s="9" t="s">
        <v>250</v>
      </c>
      <c r="G159" s="9" t="s">
        <v>210</v>
      </c>
      <c r="H159" s="10" t="n">
        <v>4.977</v>
      </c>
      <c r="I159" s="9" t="str">
        <f aca="false">IF(OR(G159="links",G159="gegen UZS"),INDEX(Bezugspunkte!$C:$C,MATCH(F159,Bezugspunkte!$A:$A,0)),INDEX(Bezugspunkte!$E:$E,MATCH(F159,Bezugspunkte!$A:$A,0)))</f>
        <v>KA10</v>
      </c>
      <c r="J159" s="10" t="n">
        <f aca="false">IF(OR(G159="links",G159="gegen UZS"),INDEX(Bezugspunkte!$D:$D,MATCH(F159,Bezugspunkte!$A:$A,0)),INDEX(Bezugspunkte!$F:$F,MATCH(F159,Bezugspunkte!$A:$A,0)))</f>
        <v>8.158</v>
      </c>
      <c r="K159" s="10" t="n">
        <f aca="false">J159-H159</f>
        <v>3.181</v>
      </c>
      <c r="L159" s="10" t="n">
        <f aca="false">IF(AND(F159=F158,G159=G158),H159-H158,H159)</f>
        <v>2.241</v>
      </c>
      <c r="M159" s="10" t="n">
        <v>33.155</v>
      </c>
      <c r="N159" s="10" t="n">
        <v>-26.623</v>
      </c>
    </row>
    <row r="160" customFormat="false" ht="15" hidden="false" customHeight="false" outlineLevel="0" collapsed="false">
      <c r="A160" s="9" t="n">
        <v>159</v>
      </c>
      <c r="B160" s="9" t="s">
        <v>252</v>
      </c>
      <c r="C160" s="9" t="s">
        <v>29</v>
      </c>
      <c r="D160" s="9" t="s">
        <v>208</v>
      </c>
      <c r="E160" s="9" t="s">
        <v>48</v>
      </c>
      <c r="F160" s="9" t="s">
        <v>250</v>
      </c>
      <c r="G160" s="9" t="s">
        <v>210</v>
      </c>
      <c r="H160" s="10" t="n">
        <v>7.281</v>
      </c>
      <c r="I160" s="9" t="str">
        <f aca="false">IF(OR(G160="links",G160="gegen UZS"),INDEX(Bezugspunkte!$C:$C,MATCH(F160,Bezugspunkte!$A:$A,0)),INDEX(Bezugspunkte!$E:$E,MATCH(F160,Bezugspunkte!$A:$A,0)))</f>
        <v>KA10</v>
      </c>
      <c r="J160" s="10" t="n">
        <f aca="false">IF(OR(G160="links",G160="gegen UZS"),INDEX(Bezugspunkte!$D:$D,MATCH(F160,Bezugspunkte!$A:$A,0)),INDEX(Bezugspunkte!$F:$F,MATCH(F160,Bezugspunkte!$A:$A,0)))</f>
        <v>8.158</v>
      </c>
      <c r="K160" s="10" t="n">
        <f aca="false">J160-H160</f>
        <v>0.877</v>
      </c>
      <c r="L160" s="10" t="n">
        <f aca="false">IF(AND(F160=F159,G160=G159),H160-H159,H160)</f>
        <v>2.304</v>
      </c>
      <c r="M160" s="10" t="n">
        <v>33.056</v>
      </c>
      <c r="N160" s="10" t="n">
        <v>-24.275</v>
      </c>
    </row>
    <row r="161" customFormat="false" ht="15" hidden="false" customHeight="false" outlineLevel="0" collapsed="false">
      <c r="A161" s="9" t="n">
        <v>160</v>
      </c>
      <c r="B161" s="9" t="s">
        <v>253</v>
      </c>
      <c r="C161" s="9" t="s">
        <v>29</v>
      </c>
      <c r="D161" s="9" t="s">
        <v>208</v>
      </c>
      <c r="E161" s="9" t="s">
        <v>48</v>
      </c>
      <c r="F161" s="9" t="s">
        <v>250</v>
      </c>
      <c r="G161" s="9" t="s">
        <v>212</v>
      </c>
      <c r="H161" s="10" t="n">
        <v>2.002</v>
      </c>
      <c r="I161" s="9" t="str">
        <f aca="false">IF(OR(G161="links",G161="gegen UZS"),INDEX(Bezugspunkte!$C:$C,MATCH(F161,Bezugspunkte!$A:$A,0)),INDEX(Bezugspunkte!$E:$E,MATCH(F161,Bezugspunkte!$A:$A,0)))</f>
        <v>KA12</v>
      </c>
      <c r="J161" s="10" t="n">
        <f aca="false">IF(OR(G161="links",G161="gegen UZS"),INDEX(Bezugspunkte!$D:$D,MATCH(F161,Bezugspunkte!$A:$A,0)),INDEX(Bezugspunkte!$F:$F,MATCH(F161,Bezugspunkte!$A:$A,0)))</f>
        <v>7.316</v>
      </c>
      <c r="K161" s="10" t="n">
        <f aca="false">J161-H161</f>
        <v>5.314</v>
      </c>
      <c r="L161" s="10" t="n">
        <f aca="false">IF(AND(F161=F160,G161=G160),H161-H160,H161)</f>
        <v>2.002</v>
      </c>
      <c r="M161" s="10" t="n">
        <v>30.758</v>
      </c>
      <c r="N161" s="10" t="n">
        <v>-32.976</v>
      </c>
    </row>
    <row r="162" customFormat="false" ht="15" hidden="false" customHeight="false" outlineLevel="0" collapsed="false">
      <c r="A162" s="9" t="n">
        <v>161</v>
      </c>
      <c r="B162" s="9" t="s">
        <v>254</v>
      </c>
      <c r="C162" s="9" t="s">
        <v>37</v>
      </c>
      <c r="D162" s="9" t="s">
        <v>78</v>
      </c>
      <c r="E162" s="9" t="s">
        <v>48</v>
      </c>
      <c r="F162" s="9" t="s">
        <v>250</v>
      </c>
      <c r="G162" s="9" t="s">
        <v>212</v>
      </c>
      <c r="H162" s="10" t="n">
        <v>3.957</v>
      </c>
      <c r="I162" s="9" t="str">
        <f aca="false">IF(OR(G162="links",G162="gegen UZS"),INDEX(Bezugspunkte!$C:$C,MATCH(F162,Bezugspunkte!$A:$A,0)),INDEX(Bezugspunkte!$E:$E,MATCH(F162,Bezugspunkte!$A:$A,0)))</f>
        <v>KA12</v>
      </c>
      <c r="J162" s="10" t="n">
        <f aca="false">IF(OR(G162="links",G162="gegen UZS"),INDEX(Bezugspunkte!$D:$D,MATCH(F162,Bezugspunkte!$A:$A,0)),INDEX(Bezugspunkte!$F:$F,MATCH(F162,Bezugspunkte!$A:$A,0)))</f>
        <v>7.316</v>
      </c>
      <c r="K162" s="10" t="n">
        <f aca="false">J162-H162</f>
        <v>3.359</v>
      </c>
      <c r="L162" s="10" t="n">
        <f aca="false">IF(AND(F162=F161,G162=G161),H162-H161,H162)</f>
        <v>1.955</v>
      </c>
      <c r="M162" s="10" t="n">
        <v>29.855</v>
      </c>
      <c r="N162" s="10" t="n">
        <v>-34.718</v>
      </c>
    </row>
    <row r="163" customFormat="false" ht="15" hidden="false" customHeight="false" outlineLevel="0" collapsed="false">
      <c r="A163" s="9" t="n">
        <v>162</v>
      </c>
      <c r="B163" s="9" t="s">
        <v>255</v>
      </c>
      <c r="C163" s="9" t="s">
        <v>29</v>
      </c>
      <c r="D163" s="9" t="s">
        <v>208</v>
      </c>
      <c r="E163" s="9" t="s">
        <v>48</v>
      </c>
      <c r="F163" s="9" t="s">
        <v>250</v>
      </c>
      <c r="G163" s="9" t="s">
        <v>212</v>
      </c>
      <c r="H163" s="10" t="n">
        <v>6.332</v>
      </c>
      <c r="I163" s="9" t="str">
        <f aca="false">IF(OR(G163="links",G163="gegen UZS"),INDEX(Bezugspunkte!$C:$C,MATCH(F163,Bezugspunkte!$A:$A,0)),INDEX(Bezugspunkte!$E:$E,MATCH(F163,Bezugspunkte!$A:$A,0)))</f>
        <v>KA12</v>
      </c>
      <c r="J163" s="10" t="n">
        <f aca="false">IF(OR(G163="links",G163="gegen UZS"),INDEX(Bezugspunkte!$D:$D,MATCH(F163,Bezugspunkte!$A:$A,0)),INDEX(Bezugspunkte!$F:$F,MATCH(F163,Bezugspunkte!$A:$A,0)))</f>
        <v>7.316</v>
      </c>
      <c r="K163" s="10" t="n">
        <f aca="false">J163-H163</f>
        <v>0.984</v>
      </c>
      <c r="L163" s="10" t="n">
        <f aca="false">IF(AND(F163=F162,G163=G162),H163-H162,H163)</f>
        <v>2.375</v>
      </c>
      <c r="M163" s="10" t="n">
        <v>28.656</v>
      </c>
      <c r="N163" s="10" t="n">
        <v>-36.769</v>
      </c>
    </row>
    <row r="164" customFormat="false" ht="15" hidden="false" customHeight="false" outlineLevel="0" collapsed="false">
      <c r="A164" s="9" t="n">
        <v>163</v>
      </c>
      <c r="B164" s="9" t="s">
        <v>256</v>
      </c>
      <c r="C164" s="9" t="s">
        <v>37</v>
      </c>
      <c r="D164" s="9" t="s">
        <v>78</v>
      </c>
      <c r="E164" s="9" t="s">
        <v>48</v>
      </c>
      <c r="F164" s="9" t="s">
        <v>257</v>
      </c>
      <c r="G164" s="9" t="s">
        <v>210</v>
      </c>
      <c r="H164" s="10" t="n">
        <v>1.382</v>
      </c>
      <c r="I164" s="9" t="str">
        <f aca="false">IF(OR(G164="links",G164="gegen UZS"),INDEX(Bezugspunkte!$C:$C,MATCH(F164,Bezugspunkte!$A:$A,0)),INDEX(Bezugspunkte!$E:$E,MATCH(F164,Bezugspunkte!$A:$A,0)))</f>
        <v>KA12</v>
      </c>
      <c r="J164" s="10" t="n">
        <f aca="false">IF(OR(G164="links",G164="gegen UZS"),INDEX(Bezugspunkte!$D:$D,MATCH(F164,Bezugspunkte!$A:$A,0)),INDEX(Bezugspunkte!$F:$F,MATCH(F164,Bezugspunkte!$A:$A,0)))</f>
        <v>7.171</v>
      </c>
      <c r="K164" s="10" t="n">
        <f aca="false">J164-H164</f>
        <v>5.789</v>
      </c>
      <c r="L164" s="10" t="n">
        <f aca="false">IF(AND(F164=F163,G164=G163),H164-H163,H164)</f>
        <v>1.382</v>
      </c>
      <c r="M164" s="10" t="n">
        <v>25.004</v>
      </c>
      <c r="N164" s="10" t="n">
        <v>-42.467</v>
      </c>
    </row>
    <row r="165" customFormat="false" ht="15" hidden="false" customHeight="false" outlineLevel="0" collapsed="false">
      <c r="A165" s="9" t="n">
        <v>164</v>
      </c>
      <c r="B165" s="9" t="s">
        <v>258</v>
      </c>
      <c r="C165" s="9" t="s">
        <v>29</v>
      </c>
      <c r="D165" s="9" t="s">
        <v>208</v>
      </c>
      <c r="E165" s="9" t="s">
        <v>48</v>
      </c>
      <c r="F165" s="9" t="s">
        <v>257</v>
      </c>
      <c r="G165" s="9" t="s">
        <v>210</v>
      </c>
      <c r="H165" s="10" t="n">
        <v>3.905</v>
      </c>
      <c r="I165" s="9" t="str">
        <f aca="false">IF(OR(G165="links",G165="gegen UZS"),INDEX(Bezugspunkte!$C:$C,MATCH(F165,Bezugspunkte!$A:$A,0)),INDEX(Bezugspunkte!$E:$E,MATCH(F165,Bezugspunkte!$A:$A,0)))</f>
        <v>KA12</v>
      </c>
      <c r="J165" s="10" t="n">
        <f aca="false">IF(OR(G165="links",G165="gegen UZS"),INDEX(Bezugspunkte!$D:$D,MATCH(F165,Bezugspunkte!$A:$A,0)),INDEX(Bezugspunkte!$F:$F,MATCH(F165,Bezugspunkte!$A:$A,0)))</f>
        <v>7.171</v>
      </c>
      <c r="K165" s="10" t="n">
        <f aca="false">J165-H165</f>
        <v>3.266</v>
      </c>
      <c r="L165" s="10" t="n">
        <f aca="false">IF(AND(F165=F164,G165=G164),H165-H164,H165)</f>
        <v>2.523</v>
      </c>
      <c r="M165" s="10" t="n">
        <v>26.259</v>
      </c>
      <c r="N165" s="10" t="n">
        <v>-40.267</v>
      </c>
    </row>
    <row r="166" customFormat="false" ht="15" hidden="false" customHeight="false" outlineLevel="0" collapsed="false">
      <c r="A166" s="9" t="n">
        <v>165</v>
      </c>
      <c r="B166" s="9" t="s">
        <v>259</v>
      </c>
      <c r="C166" s="9" t="s">
        <v>29</v>
      </c>
      <c r="D166" s="9" t="s">
        <v>208</v>
      </c>
      <c r="E166" s="9" t="s">
        <v>48</v>
      </c>
      <c r="F166" s="9" t="s">
        <v>257</v>
      </c>
      <c r="G166" s="9" t="s">
        <v>212</v>
      </c>
      <c r="H166" s="10" t="n">
        <v>0.533</v>
      </c>
      <c r="I166" s="9" t="str">
        <f aca="false">IF(OR(G166="links",G166="gegen UZS"),INDEX(Bezugspunkte!$C:$C,MATCH(F166,Bezugspunkte!$A:$A,0)),INDEX(Bezugspunkte!$E:$E,MATCH(F166,Bezugspunkte!$A:$A,0)))</f>
        <v>KA14</v>
      </c>
      <c r="J166" s="10" t="n">
        <f aca="false">IF(OR(G166="links",G166="gegen UZS"),INDEX(Bezugspunkte!$D:$D,MATCH(F166,Bezugspunkte!$A:$A,0)),INDEX(Bezugspunkte!$F:$F,MATCH(F166,Bezugspunkte!$A:$A,0)))</f>
        <v>8.252</v>
      </c>
      <c r="K166" s="10" t="n">
        <f aca="false">J166-H166</f>
        <v>7.719</v>
      </c>
      <c r="L166" s="10" t="n">
        <f aca="false">IF(AND(F166=F165,G166=G165),H166-H165,H166)</f>
        <v>0.533</v>
      </c>
      <c r="M166" s="10" t="n">
        <v>23.706</v>
      </c>
      <c r="N166" s="10" t="n">
        <v>-43.863</v>
      </c>
    </row>
    <row r="167" customFormat="false" ht="15" hidden="false" customHeight="false" outlineLevel="0" collapsed="false">
      <c r="A167" s="9" t="n">
        <v>166</v>
      </c>
      <c r="B167" s="9" t="s">
        <v>260</v>
      </c>
      <c r="C167" s="9" t="s">
        <v>29</v>
      </c>
      <c r="D167" s="9" t="s">
        <v>208</v>
      </c>
      <c r="E167" s="9" t="s">
        <v>48</v>
      </c>
      <c r="F167" s="9" t="s">
        <v>257</v>
      </c>
      <c r="G167" s="9" t="s">
        <v>212</v>
      </c>
      <c r="H167" s="10" t="n">
        <v>4.884</v>
      </c>
      <c r="I167" s="9" t="str">
        <f aca="false">IF(OR(G167="links",G167="gegen UZS"),INDEX(Bezugspunkte!$C:$C,MATCH(F167,Bezugspunkte!$A:$A,0)),INDEX(Bezugspunkte!$E:$E,MATCH(F167,Bezugspunkte!$A:$A,0)))</f>
        <v>KA14</v>
      </c>
      <c r="J167" s="10" t="n">
        <f aca="false">IF(OR(G167="links",G167="gegen UZS"),INDEX(Bezugspunkte!$D:$D,MATCH(F167,Bezugspunkte!$A:$A,0)),INDEX(Bezugspunkte!$F:$F,MATCH(F167,Bezugspunkte!$A:$A,0)))</f>
        <v>8.252</v>
      </c>
      <c r="K167" s="10" t="n">
        <f aca="false">J167-H167</f>
        <v>3.368</v>
      </c>
      <c r="L167" s="10" t="n">
        <f aca="false">IF(AND(F167=F166,G167=G166),H167-H166,H167)</f>
        <v>4.351</v>
      </c>
      <c r="M167" s="10" t="n">
        <v>20.816</v>
      </c>
      <c r="N167" s="10" t="n">
        <v>-47.113</v>
      </c>
    </row>
    <row r="168" customFormat="false" ht="15" hidden="false" customHeight="false" outlineLevel="0" collapsed="false">
      <c r="A168" s="9" t="n">
        <v>167</v>
      </c>
      <c r="B168" s="9" t="s">
        <v>261</v>
      </c>
      <c r="C168" s="9" t="s">
        <v>37</v>
      </c>
      <c r="D168" s="9" t="s">
        <v>78</v>
      </c>
      <c r="E168" s="9" t="s">
        <v>48</v>
      </c>
      <c r="F168" s="9" t="s">
        <v>257</v>
      </c>
      <c r="G168" s="9" t="s">
        <v>212</v>
      </c>
      <c r="H168" s="10" t="n">
        <v>7.444</v>
      </c>
      <c r="I168" s="9" t="str">
        <f aca="false">IF(OR(G168="links",G168="gegen UZS"),INDEX(Bezugspunkte!$C:$C,MATCH(F168,Bezugspunkte!$A:$A,0)),INDEX(Bezugspunkte!$E:$E,MATCH(F168,Bezugspunkte!$A:$A,0)))</f>
        <v>KA14</v>
      </c>
      <c r="J168" s="10" t="n">
        <f aca="false">IF(OR(G168="links",G168="gegen UZS"),INDEX(Bezugspunkte!$D:$D,MATCH(F168,Bezugspunkte!$A:$A,0)),INDEX(Bezugspunkte!$F:$F,MATCH(F168,Bezugspunkte!$A:$A,0)))</f>
        <v>8.252</v>
      </c>
      <c r="K168" s="10" t="n">
        <f aca="false">J168-H168</f>
        <v>0.808000000000001</v>
      </c>
      <c r="L168" s="10" t="n">
        <f aca="false">IF(AND(F168=F167,G168=G167),H168-H167,H168)</f>
        <v>2.56</v>
      </c>
      <c r="M168" s="10" t="n">
        <v>19.151</v>
      </c>
      <c r="N168" s="10" t="n">
        <v>-49.059</v>
      </c>
    </row>
    <row r="169" customFormat="false" ht="15" hidden="false" customHeight="false" outlineLevel="0" collapsed="false">
      <c r="A169" s="9" t="n">
        <v>168</v>
      </c>
      <c r="B169" s="9" t="s">
        <v>262</v>
      </c>
      <c r="C169" s="9" t="s">
        <v>29</v>
      </c>
      <c r="D169" s="9" t="s">
        <v>208</v>
      </c>
      <c r="E169" s="9" t="s">
        <v>48</v>
      </c>
      <c r="F169" s="9" t="s">
        <v>263</v>
      </c>
      <c r="G169" s="9" t="s">
        <v>210</v>
      </c>
      <c r="H169" s="10" t="n">
        <v>5.538</v>
      </c>
      <c r="I169" s="9" t="str">
        <f aca="false">IF(OR(G169="links",G169="gegen UZS"),INDEX(Bezugspunkte!$C:$C,MATCH(F169,Bezugspunkte!$A:$A,0)),INDEX(Bezugspunkte!$E:$E,MATCH(F169,Bezugspunkte!$A:$A,0)))</f>
        <v>KA14</v>
      </c>
      <c r="J169" s="10" t="n">
        <f aca="false">IF(OR(G169="links",G169="gegen UZS"),INDEX(Bezugspunkte!$D:$D,MATCH(F169,Bezugspunkte!$A:$A,0)),INDEX(Bezugspunkte!$F:$F,MATCH(F169,Bezugspunkte!$A:$A,0)))</f>
        <v>8.336</v>
      </c>
      <c r="K169" s="10" t="n">
        <f aca="false">J169-H169</f>
        <v>2.798</v>
      </c>
      <c r="L169" s="10" t="n">
        <f aca="false">IF(AND(F169=F168,G169=G168),H169-H168,H169)</f>
        <v>5.538</v>
      </c>
      <c r="M169" s="10" t="n">
        <v>16.268</v>
      </c>
      <c r="N169" s="10" t="n">
        <v>-51.062</v>
      </c>
    </row>
    <row r="170" customFormat="false" ht="15" hidden="false" customHeight="false" outlineLevel="0" collapsed="false">
      <c r="A170" s="9" t="n">
        <v>169</v>
      </c>
      <c r="B170" s="9" t="s">
        <v>264</v>
      </c>
      <c r="C170" s="9" t="s">
        <v>29</v>
      </c>
      <c r="D170" s="9" t="s">
        <v>208</v>
      </c>
      <c r="E170" s="9" t="s">
        <v>48</v>
      </c>
      <c r="F170" s="9" t="s">
        <v>263</v>
      </c>
      <c r="G170" s="9" t="s">
        <v>212</v>
      </c>
      <c r="H170" s="10" t="n">
        <v>0.183</v>
      </c>
      <c r="I170" s="9" t="str">
        <f aca="false">IF(OR(G170="links",G170="gegen UZS"),INDEX(Bezugspunkte!$C:$C,MATCH(F170,Bezugspunkte!$A:$A,0)),INDEX(Bezugspunkte!$E:$E,MATCH(F170,Bezugspunkte!$A:$A,0)))</f>
        <v>KA16</v>
      </c>
      <c r="J170" s="10" t="n">
        <f aca="false">IF(OR(G170="links",G170="gegen UZS"),INDEX(Bezugspunkte!$D:$D,MATCH(F170,Bezugspunkte!$A:$A,0)),INDEX(Bezugspunkte!$F:$F,MATCH(F170,Bezugspunkte!$A:$A,0)))</f>
        <v>8.532</v>
      </c>
      <c r="K170" s="10" t="n">
        <f aca="false">J170-H170</f>
        <v>8.349</v>
      </c>
      <c r="L170" s="10" t="n">
        <f aca="false">IF(AND(F170=F169,G170=G169),H170-H169,H170)</f>
        <v>0.183</v>
      </c>
      <c r="M170" s="10" t="n">
        <v>11.466</v>
      </c>
      <c r="N170" s="10" t="n">
        <v>-54.108</v>
      </c>
    </row>
    <row r="171" customFormat="false" ht="15" hidden="false" customHeight="false" outlineLevel="0" collapsed="false">
      <c r="A171" s="9" t="n">
        <v>170</v>
      </c>
      <c r="B171" s="9" t="s">
        <v>265</v>
      </c>
      <c r="C171" s="9" t="s">
        <v>37</v>
      </c>
      <c r="D171" s="9" t="s">
        <v>78</v>
      </c>
      <c r="E171" s="9" t="s">
        <v>48</v>
      </c>
      <c r="F171" s="9" t="s">
        <v>263</v>
      </c>
      <c r="G171" s="9" t="s">
        <v>212</v>
      </c>
      <c r="H171" s="10" t="n">
        <v>3.328</v>
      </c>
      <c r="I171" s="9" t="str">
        <f aca="false">IF(OR(G171="links",G171="gegen UZS"),INDEX(Bezugspunkte!$C:$C,MATCH(F171,Bezugspunkte!$A:$A,0)),INDEX(Bezugspunkte!$E:$E,MATCH(F171,Bezugspunkte!$A:$A,0)))</f>
        <v>KA16</v>
      </c>
      <c r="J171" s="10" t="n">
        <f aca="false">IF(OR(G171="links",G171="gegen UZS"),INDEX(Bezugspunkte!$D:$D,MATCH(F171,Bezugspunkte!$A:$A,0)),INDEX(Bezugspunkte!$F:$F,MATCH(F171,Bezugspunkte!$A:$A,0)))</f>
        <v>8.532</v>
      </c>
      <c r="K171" s="10" t="n">
        <f aca="false">J171-H171</f>
        <v>5.204</v>
      </c>
      <c r="L171" s="10" t="n">
        <f aca="false">IF(AND(F171=F170,G171=G170),H171-H170,H171)</f>
        <v>3.145</v>
      </c>
      <c r="M171" s="10" t="n">
        <v>8.518</v>
      </c>
      <c r="N171" s="10" t="n">
        <v>-55.208</v>
      </c>
    </row>
    <row r="172" customFormat="false" ht="15" hidden="false" customHeight="false" outlineLevel="0" collapsed="false">
      <c r="A172" s="9" t="n">
        <v>171</v>
      </c>
      <c r="B172" s="9" t="s">
        <v>266</v>
      </c>
      <c r="C172" s="9" t="s">
        <v>29</v>
      </c>
      <c r="D172" s="9" t="s">
        <v>208</v>
      </c>
      <c r="E172" s="9" t="s">
        <v>48</v>
      </c>
      <c r="F172" s="9" t="s">
        <v>263</v>
      </c>
      <c r="G172" s="9" t="s">
        <v>212</v>
      </c>
      <c r="H172" s="10" t="n">
        <v>5.89</v>
      </c>
      <c r="I172" s="9" t="str">
        <f aca="false">IF(OR(G172="links",G172="gegen UZS"),INDEX(Bezugspunkte!$C:$C,MATCH(F172,Bezugspunkte!$A:$A,0)),INDEX(Bezugspunkte!$E:$E,MATCH(F172,Bezugspunkte!$A:$A,0)))</f>
        <v>KA16</v>
      </c>
      <c r="J172" s="10" t="n">
        <f aca="false">IF(OR(G172="links",G172="gegen UZS"),INDEX(Bezugspunkte!$D:$D,MATCH(F172,Bezugspunkte!$A:$A,0)),INDEX(Bezugspunkte!$F:$F,MATCH(F172,Bezugspunkte!$A:$A,0)))</f>
        <v>8.532</v>
      </c>
      <c r="K172" s="10" t="n">
        <f aca="false">J172-H172</f>
        <v>2.642</v>
      </c>
      <c r="L172" s="10" t="n">
        <f aca="false">IF(AND(F172=F171,G172=G171),H172-H171,H172)</f>
        <v>2.562</v>
      </c>
      <c r="M172" s="10" t="n">
        <v>6.015</v>
      </c>
      <c r="N172" s="10" t="n">
        <v>-55.807</v>
      </c>
    </row>
    <row r="173" customFormat="false" ht="15" hidden="false" customHeight="false" outlineLevel="0" collapsed="false">
      <c r="A173" s="9" t="n">
        <v>172</v>
      </c>
      <c r="B173" s="9" t="s">
        <v>267</v>
      </c>
      <c r="C173" s="9" t="s">
        <v>29</v>
      </c>
      <c r="D173" s="9" t="s">
        <v>208</v>
      </c>
      <c r="E173" s="9" t="s">
        <v>48</v>
      </c>
      <c r="F173" s="9" t="s">
        <v>268</v>
      </c>
      <c r="G173" s="9" t="s">
        <v>210</v>
      </c>
      <c r="H173" s="10" t="n">
        <v>4.761</v>
      </c>
      <c r="I173" s="9" t="str">
        <f aca="false">IF(OR(G173="links",G173="gegen UZS"),INDEX(Bezugspunkte!$C:$C,MATCH(F173,Bezugspunkte!$A:$A,0)),INDEX(Bezugspunkte!$E:$E,MATCH(F173,Bezugspunkte!$A:$A,0)))</f>
        <v>KA16</v>
      </c>
      <c r="J173" s="10" t="n">
        <f aca="false">IF(OR(G173="links",G173="gegen UZS"),INDEX(Bezugspunkte!$D:$D,MATCH(F173,Bezugspunkte!$A:$A,0)),INDEX(Bezugspunkte!$F:$F,MATCH(F173,Bezugspunkte!$A:$A,0)))</f>
        <v>8.346</v>
      </c>
      <c r="K173" s="10" t="n">
        <f aca="false">J173-H173</f>
        <v>3.585</v>
      </c>
      <c r="L173" s="10" t="n">
        <f aca="false">IF(AND(F173=F172,G173=G172),H173-H172,H173)</f>
        <v>4.761</v>
      </c>
      <c r="M173" s="10" t="n">
        <v>0.022</v>
      </c>
      <c r="N173" s="10" t="n">
        <v>-56.611</v>
      </c>
    </row>
    <row r="174" customFormat="false" ht="15" hidden="false" customHeight="false" outlineLevel="0" collapsed="false">
      <c r="A174" s="9" t="n">
        <v>173</v>
      </c>
      <c r="B174" s="9" t="s">
        <v>269</v>
      </c>
      <c r="C174" s="9" t="s">
        <v>29</v>
      </c>
      <c r="D174" s="9" t="s">
        <v>208</v>
      </c>
      <c r="E174" s="9" t="s">
        <v>48</v>
      </c>
      <c r="F174" s="9" t="s">
        <v>268</v>
      </c>
      <c r="G174" s="9" t="s">
        <v>212</v>
      </c>
      <c r="H174" s="10" t="n">
        <v>1.553</v>
      </c>
      <c r="I174" s="9" t="str">
        <f aca="false">IF(OR(G174="links",G174="gegen UZS"),INDEX(Bezugspunkte!$C:$C,MATCH(F174,Bezugspunkte!$A:$A,0)),INDEX(Bezugspunkte!$E:$E,MATCH(F174,Bezugspunkte!$A:$A,0)))</f>
        <v>KA18</v>
      </c>
      <c r="J174" s="10" t="n">
        <f aca="false">IF(OR(G174="links",G174="gegen UZS"),INDEX(Bezugspunkte!$D:$D,MATCH(F174,Bezugspunkte!$A:$A,0)),INDEX(Bezugspunkte!$F:$F,MATCH(F174,Bezugspunkte!$A:$A,0)))</f>
        <v>8.379</v>
      </c>
      <c r="K174" s="10" t="n">
        <f aca="false">J174-H174</f>
        <v>6.826</v>
      </c>
      <c r="L174" s="10" t="n">
        <f aca="false">IF(AND(F174=F173,G174=G173),H174-H173,H174)</f>
        <v>1.553</v>
      </c>
      <c r="M174" s="10" t="n">
        <v>-5.979</v>
      </c>
      <c r="N174" s="10" t="n">
        <v>-55.807</v>
      </c>
    </row>
    <row r="175" customFormat="false" ht="15" hidden="false" customHeight="false" outlineLevel="0" collapsed="false">
      <c r="A175" s="9" t="n">
        <v>174</v>
      </c>
      <c r="B175" s="9" t="s">
        <v>270</v>
      </c>
      <c r="C175" s="9" t="s">
        <v>37</v>
      </c>
      <c r="D175" s="9" t="s">
        <v>78</v>
      </c>
      <c r="E175" s="9" t="s">
        <v>48</v>
      </c>
      <c r="F175" s="9" t="s">
        <v>268</v>
      </c>
      <c r="G175" s="9" t="s">
        <v>212</v>
      </c>
      <c r="H175" s="10" t="n">
        <v>4.094</v>
      </c>
      <c r="I175" s="9" t="str">
        <f aca="false">IF(OR(G175="links",G175="gegen UZS"),INDEX(Bezugspunkte!$C:$C,MATCH(F175,Bezugspunkte!$A:$A,0)),INDEX(Bezugspunkte!$E:$E,MATCH(F175,Bezugspunkte!$A:$A,0)))</f>
        <v>KA18</v>
      </c>
      <c r="J175" s="10" t="n">
        <f aca="false">IF(OR(G175="links",G175="gegen UZS"),INDEX(Bezugspunkte!$D:$D,MATCH(F175,Bezugspunkte!$A:$A,0)),INDEX(Bezugspunkte!$F:$F,MATCH(F175,Bezugspunkte!$A:$A,0)))</f>
        <v>8.379</v>
      </c>
      <c r="K175" s="10" t="n">
        <f aca="false">J175-H175</f>
        <v>4.285</v>
      </c>
      <c r="L175" s="10" t="n">
        <f aca="false">IF(AND(F175=F174,G175=G174),H175-H174,H175)</f>
        <v>2.541</v>
      </c>
      <c r="M175" s="10" t="n">
        <v>-8.468</v>
      </c>
      <c r="N175" s="10" t="n">
        <v>-55.208</v>
      </c>
    </row>
    <row r="176" customFormat="false" ht="15" hidden="false" customHeight="false" outlineLevel="0" collapsed="false">
      <c r="A176" s="9" t="n">
        <v>175</v>
      </c>
      <c r="B176" s="9" t="s">
        <v>271</v>
      </c>
      <c r="C176" s="9" t="s">
        <v>29</v>
      </c>
      <c r="D176" s="9" t="s">
        <v>208</v>
      </c>
      <c r="E176" s="9" t="s">
        <v>48</v>
      </c>
      <c r="F176" s="9" t="s">
        <v>268</v>
      </c>
      <c r="G176" s="9" t="s">
        <v>212</v>
      </c>
      <c r="H176" s="10" t="n">
        <v>7.246</v>
      </c>
      <c r="I176" s="9" t="str">
        <f aca="false">IF(OR(G176="links",G176="gegen UZS"),INDEX(Bezugspunkte!$C:$C,MATCH(F176,Bezugspunkte!$A:$A,0)),INDEX(Bezugspunkte!$E:$E,MATCH(F176,Bezugspunkte!$A:$A,0)))</f>
        <v>KA18</v>
      </c>
      <c r="J176" s="10" t="n">
        <f aca="false">IF(OR(G176="links",G176="gegen UZS"),INDEX(Bezugspunkte!$D:$D,MATCH(F176,Bezugspunkte!$A:$A,0)),INDEX(Bezugspunkte!$F:$F,MATCH(F176,Bezugspunkte!$A:$A,0)))</f>
        <v>8.379</v>
      </c>
      <c r="K176" s="10" t="n">
        <f aca="false">J176-H176</f>
        <v>1.133</v>
      </c>
      <c r="L176" s="10" t="n">
        <f aca="false">IF(AND(F176=F175,G176=G175),H176-H175,H176)</f>
        <v>3.152</v>
      </c>
      <c r="M176" s="10" t="n">
        <v>-11.422</v>
      </c>
      <c r="N176" s="10" t="n">
        <v>-54.108</v>
      </c>
    </row>
    <row r="177" customFormat="false" ht="15" hidden="false" customHeight="false" outlineLevel="0" collapsed="false">
      <c r="A177" s="9" t="n">
        <v>176</v>
      </c>
      <c r="B177" s="9" t="s">
        <v>272</v>
      </c>
      <c r="C177" s="9" t="s">
        <v>29</v>
      </c>
      <c r="D177" s="9" t="s">
        <v>208</v>
      </c>
      <c r="E177" s="9" t="s">
        <v>48</v>
      </c>
      <c r="F177" s="9" t="s">
        <v>273</v>
      </c>
      <c r="G177" s="9" t="s">
        <v>210</v>
      </c>
      <c r="H177" s="10" t="n">
        <v>3.503</v>
      </c>
      <c r="I177" s="9" t="str">
        <f aca="false">IF(OR(G177="links",G177="gegen UZS"),INDEX(Bezugspunkte!$C:$C,MATCH(F177,Bezugspunkte!$A:$A,0)),INDEX(Bezugspunkte!$E:$E,MATCH(F177,Bezugspunkte!$A:$A,0)))</f>
        <v>KA18</v>
      </c>
      <c r="J177" s="10" t="n">
        <f aca="false">IF(OR(G177="links",G177="gegen UZS"),INDEX(Bezugspunkte!$D:$D,MATCH(F177,Bezugspunkte!$A:$A,0)),INDEX(Bezugspunkte!$F:$F,MATCH(F177,Bezugspunkte!$A:$A,0)))</f>
        <v>8.145</v>
      </c>
      <c r="K177" s="10" t="n">
        <f aca="false">J177-H177</f>
        <v>4.642</v>
      </c>
      <c r="L177" s="10" t="n">
        <f aca="false">IF(AND(F177=F176,G177=G176),H177-H176,H177)</f>
        <v>3.503</v>
      </c>
      <c r="M177" s="10" t="n">
        <v>-16.217</v>
      </c>
      <c r="N177" s="10" t="n">
        <v>-51.062</v>
      </c>
    </row>
    <row r="178" customFormat="false" ht="15" hidden="false" customHeight="false" outlineLevel="0" collapsed="false">
      <c r="A178" s="9" t="n">
        <v>177</v>
      </c>
      <c r="B178" s="9" t="s">
        <v>274</v>
      </c>
      <c r="C178" s="9" t="s">
        <v>37</v>
      </c>
      <c r="D178" s="9" t="s">
        <v>78</v>
      </c>
      <c r="E178" s="9" t="s">
        <v>48</v>
      </c>
      <c r="F178" s="9" t="s">
        <v>273</v>
      </c>
      <c r="G178" s="9" t="s">
        <v>212</v>
      </c>
      <c r="H178" s="10" t="n">
        <v>0.11</v>
      </c>
      <c r="I178" s="9" t="str">
        <f aca="false">IF(OR(G178="links",G178="gegen UZS"),INDEX(Bezugspunkte!$C:$C,MATCH(F178,Bezugspunkte!$A:$A,0)),INDEX(Bezugspunkte!$E:$E,MATCH(F178,Bezugspunkte!$A:$A,0)))</f>
        <v>KA20</v>
      </c>
      <c r="J178" s="10" t="n">
        <f aca="false">IF(OR(G178="links",G178="gegen UZS"),INDEX(Bezugspunkte!$D:$D,MATCH(F178,Bezugspunkte!$A:$A,0)),INDEX(Bezugspunkte!$F:$F,MATCH(F178,Bezugspunkte!$A:$A,0)))</f>
        <v>8.173</v>
      </c>
      <c r="K178" s="10" t="n">
        <f aca="false">J178-H178</f>
        <v>8.063</v>
      </c>
      <c r="L178" s="10" t="n">
        <f aca="false">IF(AND(F178=F177,G178=G177),H178-H177,H178)</f>
        <v>0.11</v>
      </c>
      <c r="M178" s="10" t="n">
        <v>-19.122</v>
      </c>
      <c r="N178" s="10" t="n">
        <v>-49.059</v>
      </c>
    </row>
    <row r="179" customFormat="false" ht="15" hidden="false" customHeight="false" outlineLevel="0" collapsed="false">
      <c r="A179" s="9" t="n">
        <v>178</v>
      </c>
      <c r="B179" s="9" t="s">
        <v>275</v>
      </c>
      <c r="C179" s="9" t="s">
        <v>29</v>
      </c>
      <c r="D179" s="9" t="s">
        <v>208</v>
      </c>
      <c r="E179" s="9" t="s">
        <v>48</v>
      </c>
      <c r="F179" s="9" t="s">
        <v>273</v>
      </c>
      <c r="G179" s="9" t="s">
        <v>212</v>
      </c>
      <c r="H179" s="10" t="n">
        <v>2.656</v>
      </c>
      <c r="I179" s="9" t="str">
        <f aca="false">IF(OR(G179="links",G179="gegen UZS"),INDEX(Bezugspunkte!$C:$C,MATCH(F179,Bezugspunkte!$A:$A,0)),INDEX(Bezugspunkte!$E:$E,MATCH(F179,Bezugspunkte!$A:$A,0)))</f>
        <v>KA20</v>
      </c>
      <c r="J179" s="10" t="n">
        <f aca="false">IF(OR(G179="links",G179="gegen UZS"),INDEX(Bezugspunkte!$D:$D,MATCH(F179,Bezugspunkte!$A:$A,0)),INDEX(Bezugspunkte!$F:$F,MATCH(F179,Bezugspunkte!$A:$A,0)))</f>
        <v>8.173</v>
      </c>
      <c r="K179" s="10" t="n">
        <f aca="false">J179-H179</f>
        <v>5.517</v>
      </c>
      <c r="L179" s="10" t="n">
        <f aca="false">IF(AND(F179=F178,G179=G178),H179-H178,H179)</f>
        <v>2.546</v>
      </c>
      <c r="M179" s="10" t="n">
        <v>-20.765</v>
      </c>
      <c r="N179" s="10" t="n">
        <v>-47.113</v>
      </c>
    </row>
    <row r="180" customFormat="false" ht="15" hidden="false" customHeight="false" outlineLevel="0" collapsed="false">
      <c r="A180" s="9" t="n">
        <v>179</v>
      </c>
      <c r="B180" s="9" t="s">
        <v>276</v>
      </c>
      <c r="C180" s="9" t="s">
        <v>29</v>
      </c>
      <c r="D180" s="9" t="s">
        <v>208</v>
      </c>
      <c r="E180" s="9" t="s">
        <v>48</v>
      </c>
      <c r="F180" s="9" t="s">
        <v>273</v>
      </c>
      <c r="G180" s="9" t="s">
        <v>212</v>
      </c>
      <c r="H180" s="10" t="n">
        <v>7.011</v>
      </c>
      <c r="I180" s="9" t="str">
        <f aca="false">IF(OR(G180="links",G180="gegen UZS"),INDEX(Bezugspunkte!$C:$C,MATCH(F180,Bezugspunkte!$A:$A,0)),INDEX(Bezugspunkte!$E:$E,MATCH(F180,Bezugspunkte!$A:$A,0)))</f>
        <v>KA20</v>
      </c>
      <c r="J180" s="10" t="n">
        <f aca="false">IF(OR(G180="links",G180="gegen UZS"),INDEX(Bezugspunkte!$D:$D,MATCH(F180,Bezugspunkte!$A:$A,0)),INDEX(Bezugspunkte!$F:$F,MATCH(F180,Bezugspunkte!$A:$A,0)))</f>
        <v>8.173</v>
      </c>
      <c r="K180" s="10" t="n">
        <f aca="false">J180-H180</f>
        <v>1.162</v>
      </c>
      <c r="L180" s="10" t="n">
        <f aca="false">IF(AND(F180=F179,G180=G179),H180-H179,H180)</f>
        <v>4.355</v>
      </c>
      <c r="M180" s="10" t="n">
        <v>-23.663</v>
      </c>
      <c r="N180" s="10" t="n">
        <v>-43.863</v>
      </c>
    </row>
    <row r="181" customFormat="false" ht="15" hidden="false" customHeight="false" outlineLevel="0" collapsed="false">
      <c r="A181" s="9" t="n">
        <v>180</v>
      </c>
      <c r="B181" s="9" t="s">
        <v>277</v>
      </c>
      <c r="C181" s="9" t="s">
        <v>29</v>
      </c>
      <c r="D181" s="9" t="s">
        <v>208</v>
      </c>
      <c r="E181" s="9" t="s">
        <v>48</v>
      </c>
      <c r="F181" s="9" t="s">
        <v>278</v>
      </c>
      <c r="G181" s="9" t="s">
        <v>210</v>
      </c>
      <c r="H181" s="10" t="n">
        <v>0.268</v>
      </c>
      <c r="I181" s="9" t="str">
        <f aca="false">IF(OR(G181="links",G181="gegen UZS"),INDEX(Bezugspunkte!$C:$C,MATCH(F181,Bezugspunkte!$A:$A,0)),INDEX(Bezugspunkte!$E:$E,MATCH(F181,Bezugspunkte!$A:$A,0)))</f>
        <v>KA20</v>
      </c>
      <c r="J181" s="10" t="n">
        <f aca="false">IF(OR(G181="links",G181="gegen UZS"),INDEX(Bezugspunkte!$D:$D,MATCH(F181,Bezugspunkte!$A:$A,0)),INDEX(Bezugspunkte!$F:$F,MATCH(F181,Bezugspunkte!$A:$A,0)))</f>
        <v>7.792</v>
      </c>
      <c r="K181" s="10" t="n">
        <f aca="false">J181-H181</f>
        <v>7.524</v>
      </c>
      <c r="L181" s="10" t="n">
        <f aca="false">IF(AND(F181=F180,G181=G180),H181-H180,H181)</f>
        <v>0.268</v>
      </c>
      <c r="M181" s="10" t="n">
        <v>-28.606</v>
      </c>
      <c r="N181" s="10" t="n">
        <v>-36.769</v>
      </c>
    </row>
    <row r="182" customFormat="false" ht="15" hidden="false" customHeight="false" outlineLevel="0" collapsed="false">
      <c r="A182" s="9" t="n">
        <v>181</v>
      </c>
      <c r="B182" s="9" t="s">
        <v>279</v>
      </c>
      <c r="C182" s="9" t="s">
        <v>29</v>
      </c>
      <c r="D182" s="9" t="s">
        <v>208</v>
      </c>
      <c r="E182" s="9" t="s">
        <v>48</v>
      </c>
      <c r="F182" s="9" t="s">
        <v>278</v>
      </c>
      <c r="G182" s="9" t="s">
        <v>210</v>
      </c>
      <c r="H182" s="10" t="n">
        <v>4.508</v>
      </c>
      <c r="I182" s="9" t="str">
        <f aca="false">IF(OR(G182="links",G182="gegen UZS"),INDEX(Bezugspunkte!$C:$C,MATCH(F182,Bezugspunkte!$A:$A,0)),INDEX(Bezugspunkte!$E:$E,MATCH(F182,Bezugspunkte!$A:$A,0)))</f>
        <v>KA20</v>
      </c>
      <c r="J182" s="10" t="n">
        <f aca="false">IF(OR(G182="links",G182="gegen UZS"),INDEX(Bezugspunkte!$D:$D,MATCH(F182,Bezugspunkte!$A:$A,0)),INDEX(Bezugspunkte!$F:$F,MATCH(F182,Bezugspunkte!$A:$A,0)))</f>
        <v>7.792</v>
      </c>
      <c r="K182" s="10" t="n">
        <f aca="false">J182-H182</f>
        <v>3.284</v>
      </c>
      <c r="L182" s="10" t="n">
        <f aca="false">IF(AND(F182=F181,G182=G181),H182-H181,H182)</f>
        <v>4.24</v>
      </c>
      <c r="M182" s="10" t="n">
        <v>-26.208</v>
      </c>
      <c r="N182" s="10" t="n">
        <v>-40.267</v>
      </c>
    </row>
    <row r="183" customFormat="false" ht="15" hidden="false" customHeight="false" outlineLevel="0" collapsed="false">
      <c r="A183" s="9" t="n">
        <v>182</v>
      </c>
      <c r="B183" s="9" t="s">
        <v>280</v>
      </c>
      <c r="C183" s="9" t="s">
        <v>37</v>
      </c>
      <c r="D183" s="9" t="s">
        <v>78</v>
      </c>
      <c r="E183" s="9" t="s">
        <v>48</v>
      </c>
      <c r="F183" s="9" t="s">
        <v>278</v>
      </c>
      <c r="G183" s="9" t="s">
        <v>210</v>
      </c>
      <c r="H183" s="10" t="n">
        <v>7.029</v>
      </c>
      <c r="I183" s="9" t="str">
        <f aca="false">IF(OR(G183="links",G183="gegen UZS"),INDEX(Bezugspunkte!$C:$C,MATCH(F183,Bezugspunkte!$A:$A,0)),INDEX(Bezugspunkte!$E:$E,MATCH(F183,Bezugspunkte!$A:$A,0)))</f>
        <v>KA20</v>
      </c>
      <c r="J183" s="10" t="n">
        <f aca="false">IF(OR(G183="links",G183="gegen UZS"),INDEX(Bezugspunkte!$D:$D,MATCH(F183,Bezugspunkte!$A:$A,0)),INDEX(Bezugspunkte!$F:$F,MATCH(F183,Bezugspunkte!$A:$A,0)))</f>
        <v>7.792</v>
      </c>
      <c r="K183" s="10" t="n">
        <f aca="false">J183-H183</f>
        <v>0.763</v>
      </c>
      <c r="L183" s="10" t="n">
        <f aca="false">IF(AND(F183=F182,G183=G182),H183-H182,H183)</f>
        <v>2.521</v>
      </c>
      <c r="M183" s="10" t="n">
        <v>-24.96</v>
      </c>
      <c r="N183" s="10" t="n">
        <v>-42.467</v>
      </c>
    </row>
    <row r="184" customFormat="false" ht="15" hidden="false" customHeight="false" outlineLevel="0" collapsed="false">
      <c r="A184" s="9" t="n">
        <v>183</v>
      </c>
      <c r="B184" s="9" t="s">
        <v>281</v>
      </c>
      <c r="C184" s="9" t="s">
        <v>37</v>
      </c>
      <c r="D184" s="9" t="s">
        <v>78</v>
      </c>
      <c r="E184" s="9" t="s">
        <v>48</v>
      </c>
      <c r="F184" s="9" t="s">
        <v>278</v>
      </c>
      <c r="G184" s="9" t="s">
        <v>212</v>
      </c>
      <c r="H184" s="10" t="n">
        <v>2.146</v>
      </c>
      <c r="I184" s="9" t="str">
        <f aca="false">IF(OR(G184="links",G184="gegen UZS"),INDEX(Bezugspunkte!$C:$C,MATCH(F184,Bezugspunkte!$A:$A,0)),INDEX(Bezugspunkte!$E:$E,MATCH(F184,Bezugspunkte!$A:$A,0)))</f>
        <v>KA22</v>
      </c>
      <c r="J184" s="10" t="n">
        <f aca="false">IF(OR(G184="links",G184="gegen UZS"),INDEX(Bezugspunkte!$D:$D,MATCH(F184,Bezugspunkte!$A:$A,0)),INDEX(Bezugspunkte!$F:$F,MATCH(F184,Bezugspunkte!$A:$A,0)))</f>
        <v>7.565</v>
      </c>
      <c r="K184" s="10" t="n">
        <f aca="false">J184-H184</f>
        <v>5.419</v>
      </c>
      <c r="L184" s="10" t="n">
        <f aca="false">IF(AND(F184=F183,G184=G183),H184-H183,H184)</f>
        <v>2.146</v>
      </c>
      <c r="M184" s="10" t="n">
        <v>-29.804</v>
      </c>
      <c r="N184" s="10" t="n">
        <v>-34.718</v>
      </c>
    </row>
    <row r="185" customFormat="false" ht="15" hidden="false" customHeight="false" outlineLevel="0" collapsed="false">
      <c r="A185" s="9" t="n">
        <v>184</v>
      </c>
      <c r="B185" s="9" t="s">
        <v>282</v>
      </c>
      <c r="C185" s="9" t="s">
        <v>29</v>
      </c>
      <c r="D185" s="9" t="s">
        <v>208</v>
      </c>
      <c r="E185" s="9" t="s">
        <v>48</v>
      </c>
      <c r="F185" s="9" t="s">
        <v>278</v>
      </c>
      <c r="G185" s="9" t="s">
        <v>212</v>
      </c>
      <c r="H185" s="10" t="n">
        <v>4.107</v>
      </c>
      <c r="I185" s="9" t="str">
        <f aca="false">IF(OR(G185="links",G185="gegen UZS"),INDEX(Bezugspunkte!$C:$C,MATCH(F185,Bezugspunkte!$A:$A,0)),INDEX(Bezugspunkte!$E:$E,MATCH(F185,Bezugspunkte!$A:$A,0)))</f>
        <v>KA22</v>
      </c>
      <c r="J185" s="10" t="n">
        <f aca="false">IF(OR(G185="links",G185="gegen UZS"),INDEX(Bezugspunkte!$D:$D,MATCH(F185,Bezugspunkte!$A:$A,0)),INDEX(Bezugspunkte!$F:$F,MATCH(F185,Bezugspunkte!$A:$A,0)))</f>
        <v>7.565</v>
      </c>
      <c r="K185" s="10" t="n">
        <f aca="false">J185-H185</f>
        <v>3.458</v>
      </c>
      <c r="L185" s="10" t="n">
        <f aca="false">IF(AND(F185=F184,G185=G184),H185-H184,H185)</f>
        <v>1.961</v>
      </c>
      <c r="M185" s="10" t="n">
        <v>-30.707</v>
      </c>
      <c r="N185" s="10" t="n">
        <v>-32.976</v>
      </c>
    </row>
    <row r="186" customFormat="false" ht="15" hidden="false" customHeight="false" outlineLevel="0" collapsed="false">
      <c r="A186" s="9" t="n">
        <v>185</v>
      </c>
      <c r="B186" s="9" t="s">
        <v>283</v>
      </c>
      <c r="C186" s="9" t="s">
        <v>37</v>
      </c>
      <c r="D186" s="9" t="s">
        <v>78</v>
      </c>
      <c r="E186" s="9" t="s">
        <v>48</v>
      </c>
      <c r="F186" s="9" t="s">
        <v>284</v>
      </c>
      <c r="G186" s="9" t="s">
        <v>210</v>
      </c>
      <c r="H186" s="10" t="n">
        <v>0.21</v>
      </c>
      <c r="I186" s="9" t="str">
        <f aca="false">IF(OR(G186="links",G186="gegen UZS"),INDEX(Bezugspunkte!$C:$C,MATCH(F186,Bezugspunkte!$A:$A,0)),INDEX(Bezugspunkte!$E:$E,MATCH(F186,Bezugspunkte!$A:$A,0)))</f>
        <v>KA22</v>
      </c>
      <c r="J186" s="10" t="n">
        <f aca="false">IF(OR(G186="links",G186="gegen UZS"),INDEX(Bezugspunkte!$D:$D,MATCH(F186,Bezugspunkte!$A:$A,0)),INDEX(Bezugspunkte!$F:$F,MATCH(F186,Bezugspunkte!$A:$A,0)))</f>
        <v>7.989</v>
      </c>
      <c r="K186" s="10" t="n">
        <f aca="false">J186-H186</f>
        <v>7.779</v>
      </c>
      <c r="L186" s="10" t="n">
        <f aca="false">IF(AND(F186=F185,G186=G185),H186-H185,H186)</f>
        <v>0.21</v>
      </c>
      <c r="M186" s="10" t="n">
        <v>-33.506</v>
      </c>
      <c r="N186" s="10" t="n">
        <v>-22.279</v>
      </c>
    </row>
    <row r="187" customFormat="false" ht="15" hidden="false" customHeight="false" outlineLevel="0" collapsed="false">
      <c r="A187" s="9" t="n">
        <v>186</v>
      </c>
      <c r="B187" s="9" t="s">
        <v>285</v>
      </c>
      <c r="C187" s="9" t="s">
        <v>29</v>
      </c>
      <c r="D187" s="9" t="s">
        <v>208</v>
      </c>
      <c r="E187" s="9" t="s">
        <v>48</v>
      </c>
      <c r="F187" s="9" t="s">
        <v>284</v>
      </c>
      <c r="G187" s="9" t="s">
        <v>210</v>
      </c>
      <c r="H187" s="10" t="n">
        <v>2.255</v>
      </c>
      <c r="I187" s="9" t="str">
        <f aca="false">IF(OR(G187="links",G187="gegen UZS"),INDEX(Bezugspunkte!$C:$C,MATCH(F187,Bezugspunkte!$A:$A,0)),INDEX(Bezugspunkte!$E:$E,MATCH(F187,Bezugspunkte!$A:$A,0)))</f>
        <v>KA22</v>
      </c>
      <c r="J187" s="10" t="n">
        <f aca="false">IF(OR(G187="links",G187="gegen UZS"),INDEX(Bezugspunkte!$D:$D,MATCH(F187,Bezugspunkte!$A:$A,0)),INDEX(Bezugspunkte!$F:$F,MATCH(F187,Bezugspunkte!$A:$A,0)))</f>
        <v>7.989</v>
      </c>
      <c r="K187" s="10" t="n">
        <f aca="false">J187-H187</f>
        <v>5.734</v>
      </c>
      <c r="L187" s="10" t="n">
        <f aca="false">IF(AND(F187=F186,G187=G186),H187-H186,H187)</f>
        <v>2.045</v>
      </c>
      <c r="M187" s="10" t="n">
        <v>-33.006</v>
      </c>
      <c r="N187" s="10" t="n">
        <v>-24.275</v>
      </c>
    </row>
    <row r="188" customFormat="false" ht="15" hidden="false" customHeight="false" outlineLevel="0" collapsed="false">
      <c r="A188" s="9" t="n">
        <v>187</v>
      </c>
      <c r="B188" s="9" t="s">
        <v>286</v>
      </c>
      <c r="C188" s="9" t="s">
        <v>29</v>
      </c>
      <c r="D188" s="9" t="s">
        <v>208</v>
      </c>
      <c r="E188" s="9" t="s">
        <v>48</v>
      </c>
      <c r="F188" s="9" t="s">
        <v>284</v>
      </c>
      <c r="G188" s="9" t="s">
        <v>210</v>
      </c>
      <c r="H188" s="10" t="n">
        <v>6.8</v>
      </c>
      <c r="I188" s="9" t="str">
        <f aca="false">IF(OR(G188="links",G188="gegen UZS"),INDEX(Bezugspunkte!$C:$C,MATCH(F188,Bezugspunkte!$A:$A,0)),INDEX(Bezugspunkte!$E:$E,MATCH(F188,Bezugspunkte!$A:$A,0)))</f>
        <v>KA22</v>
      </c>
      <c r="J188" s="10" t="n">
        <f aca="false">IF(OR(G188="links",G188="gegen UZS"),INDEX(Bezugspunkte!$D:$D,MATCH(F188,Bezugspunkte!$A:$A,0)),INDEX(Bezugspunkte!$F:$F,MATCH(F188,Bezugspunkte!$A:$A,0)))</f>
        <v>7.989</v>
      </c>
      <c r="K188" s="10" t="n">
        <f aca="false">J188-H188</f>
        <v>1.189</v>
      </c>
      <c r="L188" s="10" t="n">
        <f aca="false">IF(AND(F188=F187,G188=G187),H188-H187,H188)</f>
        <v>4.545</v>
      </c>
      <c r="M188" s="10" t="n">
        <v>-32.357</v>
      </c>
      <c r="N188" s="10" t="n">
        <v>-28.773</v>
      </c>
    </row>
    <row r="189" customFormat="false" ht="15" hidden="false" customHeight="false" outlineLevel="0" collapsed="false">
      <c r="A189" s="9" t="n">
        <v>188</v>
      </c>
      <c r="B189" s="9" t="s">
        <v>287</v>
      </c>
      <c r="C189" s="9" t="s">
        <v>29</v>
      </c>
      <c r="D189" s="9" t="s">
        <v>208</v>
      </c>
      <c r="E189" s="9" t="s">
        <v>48</v>
      </c>
      <c r="F189" s="9" t="s">
        <v>284</v>
      </c>
      <c r="G189" s="9" t="s">
        <v>212</v>
      </c>
      <c r="H189" s="10" t="n">
        <v>1.789</v>
      </c>
      <c r="I189" s="9" t="str">
        <f aca="false">IF(OR(G189="links",G189="gegen UZS"),INDEX(Bezugspunkte!$C:$C,MATCH(F189,Bezugspunkte!$A:$A,0)),INDEX(Bezugspunkte!$E:$E,MATCH(F189,Bezugspunkte!$A:$A,0)))</f>
        <v>KA24</v>
      </c>
      <c r="J189" s="10" t="n">
        <f aca="false">IF(OR(G189="links",G189="gegen UZS"),INDEX(Bezugspunkte!$D:$D,MATCH(F189,Bezugspunkte!$A:$A,0)),INDEX(Bezugspunkte!$F:$F,MATCH(F189,Bezugspunkte!$A:$A,0)))</f>
        <v>7.433</v>
      </c>
      <c r="K189" s="10" t="n">
        <f aca="false">J189-H189</f>
        <v>5.644</v>
      </c>
      <c r="L189" s="10" t="n">
        <f aca="false">IF(AND(F189=F188,G189=G188),H189-H188,H189)</f>
        <v>1.789</v>
      </c>
      <c r="M189" s="10" t="n">
        <v>-33.408</v>
      </c>
      <c r="N189" s="10" t="n">
        <v>-20.277</v>
      </c>
    </row>
    <row r="190" customFormat="false" ht="15" hidden="false" customHeight="false" outlineLevel="0" collapsed="false">
      <c r="A190" s="9" t="n">
        <v>189</v>
      </c>
      <c r="B190" s="9" t="s">
        <v>288</v>
      </c>
      <c r="C190" s="9" t="s">
        <v>29</v>
      </c>
      <c r="D190" s="9" t="s">
        <v>208</v>
      </c>
      <c r="E190" s="9" t="s">
        <v>48</v>
      </c>
      <c r="F190" s="9" t="s">
        <v>284</v>
      </c>
      <c r="G190" s="9" t="s">
        <v>212</v>
      </c>
      <c r="H190" s="10" t="n">
        <v>5.482</v>
      </c>
      <c r="I190" s="9" t="str">
        <f aca="false">IF(OR(G190="links",G190="gegen UZS"),INDEX(Bezugspunkte!$C:$C,MATCH(F190,Bezugspunkte!$A:$A,0)),INDEX(Bezugspunkte!$E:$E,MATCH(F190,Bezugspunkte!$A:$A,0)))</f>
        <v>KA24</v>
      </c>
      <c r="J190" s="10" t="n">
        <f aca="false">IF(OR(G190="links",G190="gegen UZS"),INDEX(Bezugspunkte!$D:$D,MATCH(F190,Bezugspunkte!$A:$A,0)),INDEX(Bezugspunkte!$F:$F,MATCH(F190,Bezugspunkte!$A:$A,0)))</f>
        <v>7.433</v>
      </c>
      <c r="K190" s="10" t="n">
        <f aca="false">J190-H190</f>
        <v>1.951</v>
      </c>
      <c r="L190" s="10" t="n">
        <f aca="false">IF(AND(F190=F189,G190=G189),H190-H189,H190)</f>
        <v>3.693</v>
      </c>
      <c r="M190" s="10" t="n">
        <v>-33.605</v>
      </c>
      <c r="N190" s="10" t="n">
        <v>-16.589</v>
      </c>
    </row>
    <row r="191" customFormat="false" ht="15" hidden="false" customHeight="false" outlineLevel="0" collapsed="false">
      <c r="A191" s="9" t="n">
        <v>190</v>
      </c>
      <c r="B191" s="9" t="s">
        <v>289</v>
      </c>
      <c r="C191" s="9" t="s">
        <v>29</v>
      </c>
      <c r="D191" s="9" t="s">
        <v>208</v>
      </c>
      <c r="E191" s="9" t="s">
        <v>48</v>
      </c>
      <c r="F191" s="9" t="s">
        <v>290</v>
      </c>
      <c r="G191" s="9" t="s">
        <v>210</v>
      </c>
      <c r="H191" s="10" t="n">
        <v>2.243</v>
      </c>
      <c r="I191" s="9" t="str">
        <f aca="false">IF(OR(G191="links",G191="gegen UZS"),INDEX(Bezugspunkte!$C:$C,MATCH(F191,Bezugspunkte!$A:$A,0)),INDEX(Bezugspunkte!$E:$E,MATCH(F191,Bezugspunkte!$A:$A,0)))</f>
        <v>KA24</v>
      </c>
      <c r="J191" s="10" t="n">
        <f aca="false">IF(OR(G191="links",G191="gegen UZS"),INDEX(Bezugspunkte!$D:$D,MATCH(F191,Bezugspunkte!$A:$A,0)),INDEX(Bezugspunkte!$F:$F,MATCH(F191,Bezugspunkte!$A:$A,0)))</f>
        <v>29.886</v>
      </c>
      <c r="K191" s="10" t="n">
        <f aca="false">J191-H191</f>
        <v>27.643</v>
      </c>
      <c r="L191" s="10" t="n">
        <f aca="false">IF(AND(F191=F190,G191=G190),H191-H190,H191)</f>
        <v>2.243</v>
      </c>
      <c r="M191" s="10" t="n">
        <v>-33.605</v>
      </c>
      <c r="N191" s="10" t="n">
        <v>12.997</v>
      </c>
    </row>
    <row r="192" customFormat="false" ht="15" hidden="false" customHeight="false" outlineLevel="0" collapsed="false">
      <c r="A192" s="9" t="n">
        <v>191</v>
      </c>
      <c r="B192" s="9" t="s">
        <v>291</v>
      </c>
      <c r="C192" s="9" t="s">
        <v>37</v>
      </c>
      <c r="D192" s="9" t="s">
        <v>78</v>
      </c>
      <c r="E192" s="9" t="s">
        <v>48</v>
      </c>
      <c r="F192" s="9" t="s">
        <v>290</v>
      </c>
      <c r="G192" s="9" t="s">
        <v>210</v>
      </c>
      <c r="H192" s="10" t="n">
        <v>3.188</v>
      </c>
      <c r="I192" s="9" t="str">
        <f aca="false">IF(OR(G192="links",G192="gegen UZS"),INDEX(Bezugspunkte!$C:$C,MATCH(F192,Bezugspunkte!$A:$A,0)),INDEX(Bezugspunkte!$E:$E,MATCH(F192,Bezugspunkte!$A:$A,0)))</f>
        <v>KA24</v>
      </c>
      <c r="J192" s="10" t="n">
        <f aca="false">IF(OR(G192="links",G192="gegen UZS"),INDEX(Bezugspunkte!$D:$D,MATCH(F192,Bezugspunkte!$A:$A,0)),INDEX(Bezugspunkte!$F:$F,MATCH(F192,Bezugspunkte!$A:$A,0)))</f>
        <v>29.886</v>
      </c>
      <c r="K192" s="10" t="n">
        <f aca="false">J192-H192</f>
        <v>26.698</v>
      </c>
      <c r="L192" s="10" t="n">
        <f aca="false">IF(AND(F192=F191,G192=G191),H192-H191,H192)</f>
        <v>0.945</v>
      </c>
      <c r="M192" s="10" t="n">
        <v>-33.802</v>
      </c>
      <c r="N192" s="10" t="n">
        <v>12.053</v>
      </c>
    </row>
    <row r="193" customFormat="false" ht="15" hidden="false" customHeight="false" outlineLevel="0" collapsed="false">
      <c r="A193" s="9" t="n">
        <v>192</v>
      </c>
      <c r="B193" s="9" t="s">
        <v>292</v>
      </c>
      <c r="C193" s="9" t="s">
        <v>29</v>
      </c>
      <c r="D193" s="9" t="s">
        <v>208</v>
      </c>
      <c r="E193" s="9" t="s">
        <v>48</v>
      </c>
      <c r="F193" s="9" t="s">
        <v>290</v>
      </c>
      <c r="G193" s="9" t="s">
        <v>210</v>
      </c>
      <c r="H193" s="10" t="n">
        <v>5.938</v>
      </c>
      <c r="I193" s="9" t="str">
        <f aca="false">IF(OR(G193="links",G193="gegen UZS"),INDEX(Bezugspunkte!$C:$C,MATCH(F193,Bezugspunkte!$A:$A,0)),INDEX(Bezugspunkte!$E:$E,MATCH(F193,Bezugspunkte!$A:$A,0)))</f>
        <v>KA24</v>
      </c>
      <c r="J193" s="10" t="n">
        <f aca="false">IF(OR(G193="links",G193="gegen UZS"),INDEX(Bezugspunkte!$D:$D,MATCH(F193,Bezugspunkte!$A:$A,0)),INDEX(Bezugspunkte!$F:$F,MATCH(F193,Bezugspunkte!$A:$A,0)))</f>
        <v>29.886</v>
      </c>
      <c r="K193" s="10" t="n">
        <f aca="false">J193-H193</f>
        <v>23.948</v>
      </c>
      <c r="L193" s="10" t="n">
        <f aca="false">IF(AND(F193=F192,G193=G192),H193-H192,H193)</f>
        <v>2.75</v>
      </c>
      <c r="M193" s="10" t="n">
        <v>-33.605</v>
      </c>
      <c r="N193" s="10" t="n">
        <v>9.303</v>
      </c>
    </row>
    <row r="194" customFormat="false" ht="15" hidden="false" customHeight="false" outlineLevel="0" collapsed="false">
      <c r="A194" s="9" t="n">
        <v>193</v>
      </c>
      <c r="B194" s="9" t="s">
        <v>293</v>
      </c>
      <c r="C194" s="9" t="s">
        <v>29</v>
      </c>
      <c r="D194" s="9" t="s">
        <v>208</v>
      </c>
      <c r="E194" s="9" t="s">
        <v>48</v>
      </c>
      <c r="F194" s="9" t="s">
        <v>290</v>
      </c>
      <c r="G194" s="9" t="s">
        <v>210</v>
      </c>
      <c r="H194" s="10" t="n">
        <v>9.64</v>
      </c>
      <c r="I194" s="9" t="str">
        <f aca="false">IF(OR(G194="links",G194="gegen UZS"),INDEX(Bezugspunkte!$C:$C,MATCH(F194,Bezugspunkte!$A:$A,0)),INDEX(Bezugspunkte!$E:$E,MATCH(F194,Bezugspunkte!$A:$A,0)))</f>
        <v>KA24</v>
      </c>
      <c r="J194" s="10" t="n">
        <f aca="false">IF(OR(G194="links",G194="gegen UZS"),INDEX(Bezugspunkte!$D:$D,MATCH(F194,Bezugspunkte!$A:$A,0)),INDEX(Bezugspunkte!$F:$F,MATCH(F194,Bezugspunkte!$A:$A,0)))</f>
        <v>29.886</v>
      </c>
      <c r="K194" s="10" t="n">
        <f aca="false">J194-H194</f>
        <v>20.246</v>
      </c>
      <c r="L194" s="10" t="n">
        <f aca="false">IF(AND(F194=F193,G194=G193),H194-H193,H194)</f>
        <v>3.702</v>
      </c>
      <c r="M194" s="10" t="n">
        <v>-33.605</v>
      </c>
      <c r="N194" s="10" t="n">
        <v>5.601</v>
      </c>
    </row>
    <row r="195" customFormat="false" ht="15" hidden="false" customHeight="false" outlineLevel="0" collapsed="false">
      <c r="A195" s="9" t="n">
        <v>194</v>
      </c>
      <c r="B195" s="9" t="s">
        <v>294</v>
      </c>
      <c r="C195" s="9" t="s">
        <v>29</v>
      </c>
      <c r="D195" s="9" t="s">
        <v>208</v>
      </c>
      <c r="E195" s="9" t="s">
        <v>48</v>
      </c>
      <c r="F195" s="9" t="s">
        <v>290</v>
      </c>
      <c r="G195" s="9" t="s">
        <v>210</v>
      </c>
      <c r="H195" s="10" t="n">
        <v>13.334</v>
      </c>
      <c r="I195" s="9" t="str">
        <f aca="false">IF(OR(G195="links",G195="gegen UZS"),INDEX(Bezugspunkte!$C:$C,MATCH(F195,Bezugspunkte!$A:$A,0)),INDEX(Bezugspunkte!$E:$E,MATCH(F195,Bezugspunkte!$A:$A,0)))</f>
        <v>KA24</v>
      </c>
      <c r="J195" s="10" t="n">
        <f aca="false">IF(OR(G195="links",G195="gegen UZS"),INDEX(Bezugspunkte!$D:$D,MATCH(F195,Bezugspunkte!$A:$A,0)),INDEX(Bezugspunkte!$F:$F,MATCH(F195,Bezugspunkte!$A:$A,0)))</f>
        <v>29.886</v>
      </c>
      <c r="K195" s="10" t="n">
        <f aca="false">J195-H195</f>
        <v>16.552</v>
      </c>
      <c r="L195" s="10" t="n">
        <f aca="false">IF(AND(F195=F194,G195=G194),H195-H194,H195)</f>
        <v>3.694</v>
      </c>
      <c r="M195" s="10" t="n">
        <v>-33.605</v>
      </c>
      <c r="N195" s="10" t="n">
        <v>1.906</v>
      </c>
    </row>
    <row r="196" customFormat="false" ht="15" hidden="false" customHeight="false" outlineLevel="0" collapsed="false">
      <c r="A196" s="9" t="n">
        <v>195</v>
      </c>
      <c r="B196" s="9" t="s">
        <v>295</v>
      </c>
      <c r="C196" s="9" t="s">
        <v>37</v>
      </c>
      <c r="D196" s="9" t="s">
        <v>78</v>
      </c>
      <c r="E196" s="9" t="s">
        <v>48</v>
      </c>
      <c r="F196" s="9" t="s">
        <v>290</v>
      </c>
      <c r="G196" s="9" t="s">
        <v>210</v>
      </c>
      <c r="H196" s="10" t="n">
        <v>15.182</v>
      </c>
      <c r="I196" s="9" t="str">
        <f aca="false">IF(OR(G196="links",G196="gegen UZS"),INDEX(Bezugspunkte!$C:$C,MATCH(F196,Bezugspunkte!$A:$A,0)),INDEX(Bezugspunkte!$E:$E,MATCH(F196,Bezugspunkte!$A:$A,0)))</f>
        <v>KA24</v>
      </c>
      <c r="J196" s="10" t="n">
        <f aca="false">IF(OR(G196="links",G196="gegen UZS"),INDEX(Bezugspunkte!$D:$D,MATCH(F196,Bezugspunkte!$A:$A,0)),INDEX(Bezugspunkte!$F:$F,MATCH(F196,Bezugspunkte!$A:$A,0)))</f>
        <v>29.886</v>
      </c>
      <c r="K196" s="10" t="n">
        <f aca="false">J196-H196</f>
        <v>14.704</v>
      </c>
      <c r="L196" s="10" t="n">
        <f aca="false">IF(AND(F196=F195,G196=G195),H196-H195,H196)</f>
        <v>1.848</v>
      </c>
      <c r="M196" s="10" t="n">
        <v>-33.802</v>
      </c>
      <c r="N196" s="10" t="n">
        <v>0.059</v>
      </c>
    </row>
    <row r="197" customFormat="false" ht="15" hidden="false" customHeight="false" outlineLevel="0" collapsed="false">
      <c r="A197" s="9" t="n">
        <v>196</v>
      </c>
      <c r="B197" s="9" t="s">
        <v>296</v>
      </c>
      <c r="C197" s="9" t="s">
        <v>29</v>
      </c>
      <c r="D197" s="9" t="s">
        <v>208</v>
      </c>
      <c r="E197" s="9" t="s">
        <v>48</v>
      </c>
      <c r="F197" s="9" t="s">
        <v>290</v>
      </c>
      <c r="G197" s="9" t="s">
        <v>210</v>
      </c>
      <c r="H197" s="10" t="n">
        <v>17.029</v>
      </c>
      <c r="I197" s="9" t="str">
        <f aca="false">IF(OR(G197="links",G197="gegen UZS"),INDEX(Bezugspunkte!$C:$C,MATCH(F197,Bezugspunkte!$A:$A,0)),INDEX(Bezugspunkte!$E:$E,MATCH(F197,Bezugspunkte!$A:$A,0)))</f>
        <v>KA24</v>
      </c>
      <c r="J197" s="10" t="n">
        <f aca="false">IF(OR(G197="links",G197="gegen UZS"),INDEX(Bezugspunkte!$D:$D,MATCH(F197,Bezugspunkte!$A:$A,0)),INDEX(Bezugspunkte!$F:$F,MATCH(F197,Bezugspunkte!$A:$A,0)))</f>
        <v>29.886</v>
      </c>
      <c r="K197" s="10" t="n">
        <f aca="false">J197-H197</f>
        <v>12.857</v>
      </c>
      <c r="L197" s="10" t="n">
        <f aca="false">IF(AND(F197=F196,G197=G196),H197-H196,H197)</f>
        <v>1.847</v>
      </c>
      <c r="M197" s="10" t="n">
        <v>-33.605</v>
      </c>
      <c r="N197" s="10" t="n">
        <v>-1.789</v>
      </c>
    </row>
    <row r="198" customFormat="false" ht="15" hidden="false" customHeight="false" outlineLevel="0" collapsed="false">
      <c r="A198" s="9" t="n">
        <v>197</v>
      </c>
      <c r="B198" s="9" t="s">
        <v>297</v>
      </c>
      <c r="C198" s="9" t="s">
        <v>29</v>
      </c>
      <c r="D198" s="9" t="s">
        <v>208</v>
      </c>
      <c r="E198" s="9" t="s">
        <v>48</v>
      </c>
      <c r="F198" s="9" t="s">
        <v>290</v>
      </c>
      <c r="G198" s="9" t="s">
        <v>210</v>
      </c>
      <c r="H198" s="10" t="n">
        <v>20.731</v>
      </c>
      <c r="I198" s="9" t="str">
        <f aca="false">IF(OR(G198="links",G198="gegen UZS"),INDEX(Bezugspunkte!$C:$C,MATCH(F198,Bezugspunkte!$A:$A,0)),INDEX(Bezugspunkte!$E:$E,MATCH(F198,Bezugspunkte!$A:$A,0)))</f>
        <v>KA24</v>
      </c>
      <c r="J198" s="10" t="n">
        <f aca="false">IF(OR(G198="links",G198="gegen UZS"),INDEX(Bezugspunkte!$D:$D,MATCH(F198,Bezugspunkte!$A:$A,0)),INDEX(Bezugspunkte!$F:$F,MATCH(F198,Bezugspunkte!$A:$A,0)))</f>
        <v>29.886</v>
      </c>
      <c r="K198" s="10" t="n">
        <f aca="false">J198-H198</f>
        <v>9.155</v>
      </c>
      <c r="L198" s="10" t="n">
        <f aca="false">IF(AND(F198=F197,G198=G197),H198-H197,H198)</f>
        <v>3.702</v>
      </c>
      <c r="M198" s="10" t="n">
        <v>-33.605</v>
      </c>
      <c r="N198" s="10" t="n">
        <v>-5.491</v>
      </c>
    </row>
    <row r="199" customFormat="false" ht="15" hidden="false" customHeight="false" outlineLevel="0" collapsed="false">
      <c r="A199" s="9" t="n">
        <v>198</v>
      </c>
      <c r="B199" s="9" t="s">
        <v>298</v>
      </c>
      <c r="C199" s="9" t="s">
        <v>29</v>
      </c>
      <c r="D199" s="9" t="s">
        <v>208</v>
      </c>
      <c r="E199" s="9" t="s">
        <v>48</v>
      </c>
      <c r="F199" s="9" t="s">
        <v>290</v>
      </c>
      <c r="G199" s="9" t="s">
        <v>210</v>
      </c>
      <c r="H199" s="10" t="n">
        <v>24.426</v>
      </c>
      <c r="I199" s="9" t="str">
        <f aca="false">IF(OR(G199="links",G199="gegen UZS"),INDEX(Bezugspunkte!$C:$C,MATCH(F199,Bezugspunkte!$A:$A,0)),INDEX(Bezugspunkte!$E:$E,MATCH(F199,Bezugspunkte!$A:$A,0)))</f>
        <v>KA24</v>
      </c>
      <c r="J199" s="10" t="n">
        <f aca="false">IF(OR(G199="links",G199="gegen UZS"),INDEX(Bezugspunkte!$D:$D,MATCH(F199,Bezugspunkte!$A:$A,0)),INDEX(Bezugspunkte!$F:$F,MATCH(F199,Bezugspunkte!$A:$A,0)))</f>
        <v>29.886</v>
      </c>
      <c r="K199" s="10" t="n">
        <f aca="false">J199-H199</f>
        <v>5.46</v>
      </c>
      <c r="L199" s="10" t="n">
        <f aca="false">IF(AND(F199=F198,G199=G198),H199-H198,H199)</f>
        <v>3.695</v>
      </c>
      <c r="M199" s="10" t="n">
        <v>-33.605</v>
      </c>
      <c r="N199" s="10" t="n">
        <v>-9.185</v>
      </c>
    </row>
    <row r="200" customFormat="false" ht="15" hidden="false" customHeight="false" outlineLevel="0" collapsed="false">
      <c r="A200" s="9" t="n">
        <v>199</v>
      </c>
      <c r="B200" s="9" t="s">
        <v>299</v>
      </c>
      <c r="C200" s="9" t="s">
        <v>37</v>
      </c>
      <c r="D200" s="9" t="s">
        <v>78</v>
      </c>
      <c r="E200" s="9" t="s">
        <v>48</v>
      </c>
      <c r="F200" s="9" t="s">
        <v>290</v>
      </c>
      <c r="G200" s="9" t="s">
        <v>210</v>
      </c>
      <c r="H200" s="10" t="n">
        <v>27.176</v>
      </c>
      <c r="I200" s="9" t="str">
        <f aca="false">IF(OR(G200="links",G200="gegen UZS"),INDEX(Bezugspunkte!$C:$C,MATCH(F200,Bezugspunkte!$A:$A,0)),INDEX(Bezugspunkte!$E:$E,MATCH(F200,Bezugspunkte!$A:$A,0)))</f>
        <v>KA24</v>
      </c>
      <c r="J200" s="10" t="n">
        <f aca="false">IF(OR(G200="links",G200="gegen UZS"),INDEX(Bezugspunkte!$D:$D,MATCH(F200,Bezugspunkte!$A:$A,0)),INDEX(Bezugspunkte!$F:$F,MATCH(F200,Bezugspunkte!$A:$A,0)))</f>
        <v>29.886</v>
      </c>
      <c r="K200" s="10" t="n">
        <f aca="false">J200-H200</f>
        <v>2.71</v>
      </c>
      <c r="L200" s="10" t="n">
        <f aca="false">IF(AND(F200=F199,G200=G199),H200-H199,H200)</f>
        <v>2.75</v>
      </c>
      <c r="M200" s="10" t="n">
        <v>-33.802</v>
      </c>
      <c r="N200" s="10" t="n">
        <v>-11.935</v>
      </c>
    </row>
    <row r="201" customFormat="false" ht="15" hidden="false" customHeight="false" outlineLevel="0" collapsed="false">
      <c r="A201" s="9" t="n">
        <v>200</v>
      </c>
      <c r="B201" s="9" t="s">
        <v>300</v>
      </c>
      <c r="C201" s="9" t="s">
        <v>29</v>
      </c>
      <c r="D201" s="9" t="s">
        <v>208</v>
      </c>
      <c r="E201" s="9" t="s">
        <v>48</v>
      </c>
      <c r="F201" s="9" t="s">
        <v>290</v>
      </c>
      <c r="G201" s="9" t="s">
        <v>210</v>
      </c>
      <c r="H201" s="10" t="n">
        <v>28.128</v>
      </c>
      <c r="I201" s="9" t="str">
        <f aca="false">IF(OR(G201="links",G201="gegen UZS"),INDEX(Bezugspunkte!$C:$C,MATCH(F201,Bezugspunkte!$A:$A,0)),INDEX(Bezugspunkte!$E:$E,MATCH(F201,Bezugspunkte!$A:$A,0)))</f>
        <v>KA24</v>
      </c>
      <c r="J201" s="10" t="n">
        <f aca="false">IF(OR(G201="links",G201="gegen UZS"),INDEX(Bezugspunkte!$D:$D,MATCH(F201,Bezugspunkte!$A:$A,0)),INDEX(Bezugspunkte!$F:$F,MATCH(F201,Bezugspunkte!$A:$A,0)))</f>
        <v>29.886</v>
      </c>
      <c r="K201" s="10" t="n">
        <f aca="false">J201-H201</f>
        <v>1.758</v>
      </c>
      <c r="L201" s="10" t="n">
        <f aca="false">IF(AND(F201=F200,G201=G200),H201-H200,H201)</f>
        <v>0.952000000000002</v>
      </c>
      <c r="M201" s="10" t="n">
        <v>-33.605</v>
      </c>
      <c r="N201" s="10" t="n">
        <v>-12.887</v>
      </c>
    </row>
    <row r="202" customFormat="false" ht="15" hidden="false" customHeight="false" outlineLevel="0" collapsed="false">
      <c r="A202" s="9" t="n">
        <v>201</v>
      </c>
      <c r="B202" s="9" t="s">
        <v>301</v>
      </c>
      <c r="C202" s="9" t="s">
        <v>29</v>
      </c>
      <c r="D202" s="9" t="s">
        <v>208</v>
      </c>
      <c r="E202" s="9" t="s">
        <v>48</v>
      </c>
      <c r="F202" s="9" t="s">
        <v>290</v>
      </c>
      <c r="G202" s="9" t="s">
        <v>212</v>
      </c>
      <c r="H202" s="10" t="n">
        <v>1.461</v>
      </c>
      <c r="I202" s="9" t="str">
        <f aca="false">IF(OR(G202="links",G202="gegen UZS"),INDEX(Bezugspunkte!$C:$C,MATCH(F202,Bezugspunkte!$A:$A,0)),INDEX(Bezugspunkte!$E:$E,MATCH(F202,Bezugspunkte!$A:$A,0)))</f>
        <v>KA26</v>
      </c>
      <c r="J202" s="10" t="n">
        <f aca="false">IF(OR(G202="links",G202="gegen UZS"),INDEX(Bezugspunkte!$D:$D,MATCH(F202,Bezugspunkte!$A:$A,0)),INDEX(Bezugspunkte!$F:$F,MATCH(F202,Bezugspunkte!$A:$A,0)))</f>
        <v>7.556</v>
      </c>
      <c r="K202" s="10" t="n">
        <f aca="false">J202-H202</f>
        <v>6.095</v>
      </c>
      <c r="L202" s="10" t="n">
        <f aca="false">IF(AND(F202=F201,G202=G201),H202-H201,H202)</f>
        <v>1.461</v>
      </c>
      <c r="M202" s="10" t="n">
        <v>-33.605</v>
      </c>
      <c r="N202" s="10" t="n">
        <v>16.692</v>
      </c>
    </row>
    <row r="203" customFormat="false" ht="15" hidden="false" customHeight="false" outlineLevel="0" collapsed="false">
      <c r="A203" s="9" t="n">
        <v>202</v>
      </c>
      <c r="B203" s="9" t="s">
        <v>302</v>
      </c>
      <c r="C203" s="9" t="s">
        <v>29</v>
      </c>
      <c r="D203" s="9" t="s">
        <v>208</v>
      </c>
      <c r="E203" s="9" t="s">
        <v>48</v>
      </c>
      <c r="F203" s="9" t="s">
        <v>290</v>
      </c>
      <c r="G203" s="9" t="s">
        <v>212</v>
      </c>
      <c r="H203" s="10" t="n">
        <v>5.167</v>
      </c>
      <c r="I203" s="9" t="str">
        <f aca="false">IF(OR(G203="links",G203="gegen UZS"),INDEX(Bezugspunkte!$C:$C,MATCH(F203,Bezugspunkte!$A:$A,0)),INDEX(Bezugspunkte!$E:$E,MATCH(F203,Bezugspunkte!$A:$A,0)))</f>
        <v>KA26</v>
      </c>
      <c r="J203" s="10" t="n">
        <f aca="false">IF(OR(G203="links",G203="gegen UZS"),INDEX(Bezugspunkte!$D:$D,MATCH(F203,Bezugspunkte!$A:$A,0)),INDEX(Bezugspunkte!$F:$F,MATCH(F203,Bezugspunkte!$A:$A,0)))</f>
        <v>7.556</v>
      </c>
      <c r="K203" s="10" t="n">
        <f aca="false">J203-H203</f>
        <v>2.389</v>
      </c>
      <c r="L203" s="10" t="n">
        <f aca="false">IF(AND(F203=F202,G203=G202),H203-H202,H203)</f>
        <v>3.706</v>
      </c>
      <c r="M203" s="10" t="n">
        <v>-33.408</v>
      </c>
      <c r="N203" s="10" t="n">
        <v>20.394</v>
      </c>
    </row>
    <row r="204" customFormat="false" ht="15" hidden="false" customHeight="false" outlineLevel="0" collapsed="false">
      <c r="A204" s="9" t="n">
        <v>203</v>
      </c>
      <c r="B204" s="9" t="s">
        <v>303</v>
      </c>
      <c r="C204" s="9" t="s">
        <v>37</v>
      </c>
      <c r="D204" s="9" t="s">
        <v>78</v>
      </c>
      <c r="E204" s="9" t="s">
        <v>48</v>
      </c>
      <c r="F204" s="9" t="s">
        <v>290</v>
      </c>
      <c r="G204" s="9" t="s">
        <v>212</v>
      </c>
      <c r="H204" s="10" t="n">
        <v>7.158</v>
      </c>
      <c r="I204" s="9" t="str">
        <f aca="false">IF(OR(G204="links",G204="gegen UZS"),INDEX(Bezugspunkte!$C:$C,MATCH(F204,Bezugspunkte!$A:$A,0)),INDEX(Bezugspunkte!$E:$E,MATCH(F204,Bezugspunkte!$A:$A,0)))</f>
        <v>KA26</v>
      </c>
      <c r="J204" s="10" t="n">
        <f aca="false">IF(OR(G204="links",G204="gegen UZS"),INDEX(Bezugspunkte!$D:$D,MATCH(F204,Bezugspunkte!$A:$A,0)),INDEX(Bezugspunkte!$F:$F,MATCH(F204,Bezugspunkte!$A:$A,0)))</f>
        <v>7.556</v>
      </c>
      <c r="K204" s="10" t="n">
        <f aca="false">J204-H204</f>
        <v>0.398</v>
      </c>
      <c r="L204" s="10" t="n">
        <f aca="false">IF(AND(F204=F203,G204=G203),H204-H203,H204)</f>
        <v>1.991</v>
      </c>
      <c r="M204" s="10" t="n">
        <v>-33.506</v>
      </c>
      <c r="N204" s="10" t="n">
        <v>22.39</v>
      </c>
    </row>
    <row r="205" customFormat="false" ht="15" hidden="false" customHeight="false" outlineLevel="0" collapsed="false">
      <c r="A205" s="9" t="n">
        <v>204</v>
      </c>
      <c r="B205" s="9" t="s">
        <v>304</v>
      </c>
      <c r="C205" s="9" t="s">
        <v>29</v>
      </c>
      <c r="D205" s="9" t="s">
        <v>208</v>
      </c>
      <c r="E205" s="9" t="s">
        <v>48</v>
      </c>
      <c r="F205" s="9" t="s">
        <v>305</v>
      </c>
      <c r="G205" s="9" t="s">
        <v>210</v>
      </c>
      <c r="H205" s="10" t="n">
        <v>1.713</v>
      </c>
      <c r="I205" s="9" t="str">
        <f aca="false">IF(OR(G205="links",G205="gegen UZS"),INDEX(Bezugspunkte!$C:$C,MATCH(F205,Bezugspunkte!$A:$A,0)),INDEX(Bezugspunkte!$E:$E,MATCH(F205,Bezugspunkte!$A:$A,0)))</f>
        <v>KA26</v>
      </c>
      <c r="J205" s="10" t="n">
        <f aca="false">IF(OR(G205="links",G205="gegen UZS"),INDEX(Bezugspunkte!$D:$D,MATCH(F205,Bezugspunkte!$A:$A,0)),INDEX(Bezugspunkte!$F:$F,MATCH(F205,Bezugspunkte!$A:$A,0)))</f>
        <v>7.932</v>
      </c>
      <c r="K205" s="10" t="n">
        <f aca="false">J205-H205</f>
        <v>6.219</v>
      </c>
      <c r="L205" s="10" t="n">
        <f aca="false">IF(AND(F205=F204,G205=G204),H205-H204,H205)</f>
        <v>1.713</v>
      </c>
      <c r="M205" s="10" t="n">
        <v>-32.357</v>
      </c>
      <c r="N205" s="10" t="n">
        <v>28.891</v>
      </c>
    </row>
    <row r="206" customFormat="false" ht="15" hidden="false" customHeight="false" outlineLevel="0" collapsed="false">
      <c r="A206" s="9" t="n">
        <v>205</v>
      </c>
      <c r="B206" s="9" t="s">
        <v>306</v>
      </c>
      <c r="C206" s="9" t="s">
        <v>29</v>
      </c>
      <c r="D206" s="9" t="s">
        <v>208</v>
      </c>
      <c r="E206" s="9" t="s">
        <v>48</v>
      </c>
      <c r="F206" s="9" t="s">
        <v>305</v>
      </c>
      <c r="G206" s="9" t="s">
        <v>210</v>
      </c>
      <c r="H206" s="10" t="n">
        <v>6.258</v>
      </c>
      <c r="I206" s="9" t="str">
        <f aca="false">IF(OR(G206="links",G206="gegen UZS"),INDEX(Bezugspunkte!$C:$C,MATCH(F206,Bezugspunkte!$A:$A,0)),INDEX(Bezugspunkte!$E:$E,MATCH(F206,Bezugspunkte!$A:$A,0)))</f>
        <v>KA26</v>
      </c>
      <c r="J206" s="10" t="n">
        <f aca="false">IF(OR(G206="links",G206="gegen UZS"),INDEX(Bezugspunkte!$D:$D,MATCH(F206,Bezugspunkte!$A:$A,0)),INDEX(Bezugspunkte!$F:$F,MATCH(F206,Bezugspunkte!$A:$A,0)))</f>
        <v>7.932</v>
      </c>
      <c r="K206" s="10" t="n">
        <f aca="false">J206-H206</f>
        <v>1.674</v>
      </c>
      <c r="L206" s="10" t="n">
        <f aca="false">IF(AND(F206=F205,G206=G205),H206-H205,H206)</f>
        <v>4.545</v>
      </c>
      <c r="M206" s="10" t="n">
        <v>-33.006</v>
      </c>
      <c r="N206" s="10" t="n">
        <v>24.392</v>
      </c>
    </row>
    <row r="207" customFormat="false" ht="15" hidden="false" customHeight="false" outlineLevel="0" collapsed="false">
      <c r="A207" s="9" t="n">
        <v>206</v>
      </c>
      <c r="B207" s="9" t="s">
        <v>307</v>
      </c>
      <c r="C207" s="9" t="s">
        <v>29</v>
      </c>
      <c r="D207" s="9" t="s">
        <v>208</v>
      </c>
      <c r="E207" s="9" t="s">
        <v>48</v>
      </c>
      <c r="F207" s="9" t="s">
        <v>305</v>
      </c>
      <c r="G207" s="9" t="s">
        <v>212</v>
      </c>
      <c r="H207" s="10" t="n">
        <v>2.965</v>
      </c>
      <c r="I207" s="9" t="str">
        <f aca="false">IF(OR(G207="links",G207="gegen UZS"),INDEX(Bezugspunkte!$C:$C,MATCH(F207,Bezugspunkte!$A:$A,0)),INDEX(Bezugspunkte!$E:$E,MATCH(F207,Bezugspunkte!$A:$A,0)))</f>
        <v>KA28</v>
      </c>
      <c r="J207" s="10" t="n">
        <f aca="false">IF(OR(G207="links",G207="gegen UZS"),INDEX(Bezugspunkte!$D:$D,MATCH(F207,Bezugspunkte!$A:$A,0)),INDEX(Bezugspunkte!$F:$F,MATCH(F207,Bezugspunkte!$A:$A,0)))</f>
        <v>7.592</v>
      </c>
      <c r="K207" s="10" t="n">
        <f aca="false">J207-H207</f>
        <v>4.627</v>
      </c>
      <c r="L207" s="10" t="n">
        <f aca="false">IF(AND(F207=F206,G207=G206),H207-H206,H207)</f>
        <v>2.965</v>
      </c>
      <c r="M207" s="10" t="n">
        <v>-30.707</v>
      </c>
      <c r="N207" s="10" t="n">
        <v>33.086</v>
      </c>
    </row>
    <row r="208" customFormat="false" ht="15" hidden="false" customHeight="false" outlineLevel="0" collapsed="false">
      <c r="A208" s="9" t="n">
        <v>207</v>
      </c>
      <c r="B208" s="9" t="s">
        <v>308</v>
      </c>
      <c r="C208" s="9" t="s">
        <v>37</v>
      </c>
      <c r="D208" s="9" t="s">
        <v>78</v>
      </c>
      <c r="E208" s="9" t="s">
        <v>48</v>
      </c>
      <c r="F208" s="9" t="s">
        <v>305</v>
      </c>
      <c r="G208" s="9" t="s">
        <v>212</v>
      </c>
      <c r="H208" s="10" t="n">
        <v>5.025</v>
      </c>
      <c r="I208" s="9" t="str">
        <f aca="false">IF(OR(G208="links",G208="gegen UZS"),INDEX(Bezugspunkte!$C:$C,MATCH(F208,Bezugspunkte!$A:$A,0)),INDEX(Bezugspunkte!$E:$E,MATCH(F208,Bezugspunkte!$A:$A,0)))</f>
        <v>KA28</v>
      </c>
      <c r="J208" s="10" t="n">
        <f aca="false">IF(OR(G208="links",G208="gegen UZS"),INDEX(Bezugspunkte!$D:$D,MATCH(F208,Bezugspunkte!$A:$A,0)),INDEX(Bezugspunkte!$F:$F,MATCH(F208,Bezugspunkte!$A:$A,0)))</f>
        <v>7.592</v>
      </c>
      <c r="K208" s="10" t="n">
        <f aca="false">J208-H208</f>
        <v>2.567</v>
      </c>
      <c r="L208" s="10" t="n">
        <f aca="false">IF(AND(F208=F207,G208=G207),H208-H207,H208)</f>
        <v>2.06</v>
      </c>
      <c r="M208" s="10" t="n">
        <v>-29.804</v>
      </c>
      <c r="N208" s="10" t="n">
        <v>34.941</v>
      </c>
    </row>
    <row r="209" customFormat="false" ht="15" hidden="false" customHeight="false" outlineLevel="0" collapsed="false">
      <c r="A209" s="9" t="n">
        <v>208</v>
      </c>
      <c r="B209" s="9" t="s">
        <v>309</v>
      </c>
      <c r="C209" s="9" t="s">
        <v>29</v>
      </c>
      <c r="D209" s="9" t="s">
        <v>208</v>
      </c>
      <c r="E209" s="9" t="s">
        <v>48</v>
      </c>
      <c r="F209" s="9" t="s">
        <v>305</v>
      </c>
      <c r="G209" s="9" t="s">
        <v>212</v>
      </c>
      <c r="H209" s="10" t="n">
        <v>7.302</v>
      </c>
      <c r="I209" s="9" t="str">
        <f aca="false">IF(OR(G209="links",G209="gegen UZS"),INDEX(Bezugspunkte!$C:$C,MATCH(F209,Bezugspunkte!$A:$A,0)),INDEX(Bezugspunkte!$E:$E,MATCH(F209,Bezugspunkte!$A:$A,0)))</f>
        <v>KA28</v>
      </c>
      <c r="J209" s="10" t="n">
        <f aca="false">IF(OR(G209="links",G209="gegen UZS"),INDEX(Bezugspunkte!$D:$D,MATCH(F209,Bezugspunkte!$A:$A,0)),INDEX(Bezugspunkte!$F:$F,MATCH(F209,Bezugspunkte!$A:$A,0)))</f>
        <v>7.592</v>
      </c>
      <c r="K209" s="10" t="n">
        <f aca="false">J209-H209</f>
        <v>0.29</v>
      </c>
      <c r="L209" s="10" t="n">
        <f aca="false">IF(AND(F209=F208,G209=G208),H209-H208,H209)</f>
        <v>2.277</v>
      </c>
      <c r="M209" s="10" t="n">
        <v>-28.606</v>
      </c>
      <c r="N209" s="10" t="n">
        <v>36.88</v>
      </c>
    </row>
    <row r="210" customFormat="false" ht="15" hidden="false" customHeight="false" outlineLevel="0" collapsed="false">
      <c r="A210" s="9" t="n">
        <v>209</v>
      </c>
      <c r="B210" s="9" t="s">
        <v>310</v>
      </c>
      <c r="C210" s="9" t="s">
        <v>37</v>
      </c>
      <c r="D210" s="9" t="s">
        <v>78</v>
      </c>
      <c r="E210" s="9" t="s">
        <v>48</v>
      </c>
      <c r="F210" s="9" t="s">
        <v>311</v>
      </c>
      <c r="G210" s="9" t="s">
        <v>210</v>
      </c>
      <c r="H210" s="10" t="n">
        <v>1.38</v>
      </c>
      <c r="I210" s="9" t="str">
        <f aca="false">IF(OR(G210="links",G210="gegen UZS"),INDEX(Bezugspunkte!$C:$C,MATCH(F210,Bezugspunkte!$A:$A,0)),INDEX(Bezugspunkte!$E:$E,MATCH(F210,Bezugspunkte!$A:$A,0)))</f>
        <v>KA28</v>
      </c>
      <c r="J210" s="10" t="n">
        <f aca="false">IF(OR(G210="links",G210="gegen UZS"),INDEX(Bezugspunkte!$D:$D,MATCH(F210,Bezugspunkte!$A:$A,0)),INDEX(Bezugspunkte!$F:$F,MATCH(F210,Bezugspunkte!$A:$A,0)))</f>
        <v>7.881</v>
      </c>
      <c r="K210" s="10" t="n">
        <f aca="false">J210-H210</f>
        <v>6.501</v>
      </c>
      <c r="L210" s="10" t="n">
        <f aca="false">IF(AND(F210=F209,G210=G209),H210-H209,H210)</f>
        <v>1.38</v>
      </c>
      <c r="M210" s="10" t="n">
        <v>-24.96</v>
      </c>
      <c r="N210" s="10" t="n">
        <v>42.577</v>
      </c>
    </row>
    <row r="211" customFormat="false" ht="15" hidden="false" customHeight="false" outlineLevel="0" collapsed="false">
      <c r="A211" s="9" t="n">
        <v>210</v>
      </c>
      <c r="B211" s="9" t="s">
        <v>312</v>
      </c>
      <c r="C211" s="9" t="s">
        <v>29</v>
      </c>
      <c r="D211" s="9" t="s">
        <v>208</v>
      </c>
      <c r="E211" s="9" t="s">
        <v>48</v>
      </c>
      <c r="F211" s="9" t="s">
        <v>311</v>
      </c>
      <c r="G211" s="9" t="s">
        <v>210</v>
      </c>
      <c r="H211" s="10" t="n">
        <v>3.894</v>
      </c>
      <c r="I211" s="9" t="str">
        <f aca="false">IF(OR(G211="links",G211="gegen UZS"),INDEX(Bezugspunkte!$C:$C,MATCH(F211,Bezugspunkte!$A:$A,0)),INDEX(Bezugspunkte!$E:$E,MATCH(F211,Bezugspunkte!$A:$A,0)))</f>
        <v>KA28</v>
      </c>
      <c r="J211" s="10" t="n">
        <f aca="false">IF(OR(G211="links",G211="gegen UZS"),INDEX(Bezugspunkte!$D:$D,MATCH(F211,Bezugspunkte!$A:$A,0)),INDEX(Bezugspunkte!$F:$F,MATCH(F211,Bezugspunkte!$A:$A,0)))</f>
        <v>7.881</v>
      </c>
      <c r="K211" s="10" t="n">
        <f aca="false">J211-H211</f>
        <v>3.987</v>
      </c>
      <c r="L211" s="10" t="n">
        <f aca="false">IF(AND(F211=F210,G211=G210),H211-H210,H211)</f>
        <v>2.514</v>
      </c>
      <c r="M211" s="10" t="n">
        <v>-26.208</v>
      </c>
      <c r="N211" s="10" t="n">
        <v>40.384</v>
      </c>
    </row>
    <row r="212" customFormat="false" ht="15" hidden="false" customHeight="false" outlineLevel="0" collapsed="false">
      <c r="A212" s="9" t="n">
        <v>211</v>
      </c>
      <c r="B212" s="9" t="s">
        <v>313</v>
      </c>
      <c r="C212" s="9" t="s">
        <v>29</v>
      </c>
      <c r="D212" s="9" t="s">
        <v>208</v>
      </c>
      <c r="E212" s="9" t="s">
        <v>48</v>
      </c>
      <c r="F212" s="9" t="s">
        <v>311</v>
      </c>
      <c r="G212" s="9" t="s">
        <v>212</v>
      </c>
      <c r="H212" s="10" t="n">
        <v>0.564</v>
      </c>
      <c r="I212" s="9" t="str">
        <f aca="false">IF(OR(G212="links",G212="gegen UZS"),INDEX(Bezugspunkte!$C:$C,MATCH(F212,Bezugspunkte!$A:$A,0)),INDEX(Bezugspunkte!$E:$E,MATCH(F212,Bezugspunkte!$A:$A,0)))</f>
        <v>KA30</v>
      </c>
      <c r="J212" s="10" t="n">
        <f aca="false">IF(OR(G212="links",G212="gegen UZS"),INDEX(Bezugspunkte!$D:$D,MATCH(F212,Bezugspunkte!$A:$A,0)),INDEX(Bezugspunkte!$F:$F,MATCH(F212,Bezugspunkte!$A:$A,0)))</f>
        <v>8.272</v>
      </c>
      <c r="K212" s="10" t="n">
        <f aca="false">J212-H212</f>
        <v>7.708</v>
      </c>
      <c r="L212" s="10" t="n">
        <f aca="false">IF(AND(F212=F211,G212=G211),H212-H211,H212)</f>
        <v>0.564</v>
      </c>
      <c r="M212" s="10" t="n">
        <v>-23.663</v>
      </c>
      <c r="N212" s="10" t="n">
        <v>43.98</v>
      </c>
    </row>
    <row r="213" customFormat="false" ht="15" hidden="false" customHeight="false" outlineLevel="0" collapsed="false">
      <c r="A213" s="9" t="n">
        <v>212</v>
      </c>
      <c r="B213" s="9" t="s">
        <v>314</v>
      </c>
      <c r="C213" s="9" t="s">
        <v>29</v>
      </c>
      <c r="D213" s="9" t="s">
        <v>208</v>
      </c>
      <c r="E213" s="9" t="s">
        <v>48</v>
      </c>
      <c r="F213" s="9" t="s">
        <v>311</v>
      </c>
      <c r="G213" s="9" t="s">
        <v>212</v>
      </c>
      <c r="H213" s="10" t="n">
        <v>4.918</v>
      </c>
      <c r="I213" s="9" t="str">
        <f aca="false">IF(OR(G213="links",G213="gegen UZS"),INDEX(Bezugspunkte!$C:$C,MATCH(F213,Bezugspunkte!$A:$A,0)),INDEX(Bezugspunkte!$E:$E,MATCH(F213,Bezugspunkte!$A:$A,0)))</f>
        <v>KA30</v>
      </c>
      <c r="J213" s="10" t="n">
        <f aca="false">IF(OR(G213="links",G213="gegen UZS"),INDEX(Bezugspunkte!$D:$D,MATCH(F213,Bezugspunkte!$A:$A,0)),INDEX(Bezugspunkte!$F:$F,MATCH(F213,Bezugspunkte!$A:$A,0)))</f>
        <v>8.272</v>
      </c>
      <c r="K213" s="10" t="n">
        <f aca="false">J213-H213</f>
        <v>3.354</v>
      </c>
      <c r="L213" s="10" t="n">
        <f aca="false">IF(AND(F213=F212,G213=G212),H213-H212,H213)</f>
        <v>4.354</v>
      </c>
      <c r="M213" s="10" t="n">
        <v>-20.765</v>
      </c>
      <c r="N213" s="10" t="n">
        <v>47.231</v>
      </c>
    </row>
    <row r="214" customFormat="false" ht="15" hidden="false" customHeight="false" outlineLevel="0" collapsed="false">
      <c r="A214" s="9" t="n">
        <v>213</v>
      </c>
      <c r="B214" s="9" t="s">
        <v>315</v>
      </c>
      <c r="C214" s="9" t="s">
        <v>37</v>
      </c>
      <c r="D214" s="9" t="s">
        <v>78</v>
      </c>
      <c r="E214" s="9" t="s">
        <v>48</v>
      </c>
      <c r="F214" s="9" t="s">
        <v>311</v>
      </c>
      <c r="G214" s="9" t="s">
        <v>212</v>
      </c>
      <c r="H214" s="10" t="n">
        <v>7.469</v>
      </c>
      <c r="I214" s="9" t="str">
        <f aca="false">IF(OR(G214="links",G214="gegen UZS"),INDEX(Bezugspunkte!$C:$C,MATCH(F214,Bezugspunkte!$A:$A,0)),INDEX(Bezugspunkte!$E:$E,MATCH(F214,Bezugspunkte!$A:$A,0)))</f>
        <v>KA30</v>
      </c>
      <c r="J214" s="10" t="n">
        <f aca="false">IF(OR(G214="links",G214="gegen UZS"),INDEX(Bezugspunkte!$D:$D,MATCH(F214,Bezugspunkte!$A:$A,0)),INDEX(Bezugspunkte!$F:$F,MATCH(F214,Bezugspunkte!$A:$A,0)))</f>
        <v>8.272</v>
      </c>
      <c r="K214" s="10" t="n">
        <f aca="false">J214-H214</f>
        <v>0.803</v>
      </c>
      <c r="L214" s="10" t="n">
        <f aca="false">IF(AND(F214=F213,G214=G213),H214-H213,H214)</f>
        <v>2.551</v>
      </c>
      <c r="M214" s="10" t="n">
        <v>-19.122</v>
      </c>
      <c r="N214" s="10" t="n">
        <v>49.184</v>
      </c>
    </row>
    <row r="215" customFormat="false" ht="15" hidden="false" customHeight="false" outlineLevel="0" collapsed="false">
      <c r="A215" s="9" t="n">
        <v>214</v>
      </c>
      <c r="B215" s="9" t="s">
        <v>316</v>
      </c>
      <c r="C215" s="9" t="s">
        <v>29</v>
      </c>
      <c r="D215" s="9" t="s">
        <v>208</v>
      </c>
      <c r="E215" s="9" t="s">
        <v>48</v>
      </c>
      <c r="F215" s="9" t="s">
        <v>317</v>
      </c>
      <c r="G215" s="9" t="s">
        <v>210</v>
      </c>
      <c r="H215" s="10" t="n">
        <v>5.625</v>
      </c>
      <c r="I215" s="9" t="str">
        <f aca="false">IF(OR(G215="links",G215="gegen UZS"),INDEX(Bezugspunkte!$C:$C,MATCH(F215,Bezugspunkte!$A:$A,0)),INDEX(Bezugspunkte!$E:$E,MATCH(F215,Bezugspunkte!$A:$A,0)))</f>
        <v>KA30</v>
      </c>
      <c r="J215" s="10" t="n">
        <f aca="false">IF(OR(G215="links",G215="gegen UZS"),INDEX(Bezugspunkte!$D:$D,MATCH(F215,Bezugspunkte!$A:$A,0)),INDEX(Bezugspunkte!$F:$F,MATCH(F215,Bezugspunkte!$A:$A,0)))</f>
        <v>8.421</v>
      </c>
      <c r="K215" s="10" t="n">
        <f aca="false">J215-H215</f>
        <v>2.796</v>
      </c>
      <c r="L215" s="10" t="n">
        <f aca="false">IF(AND(F215=F214,G215=G214),H215-H214,H215)</f>
        <v>5.625</v>
      </c>
      <c r="M215" s="10" t="n">
        <v>-16.217</v>
      </c>
      <c r="N215" s="10" t="n">
        <v>51.172</v>
      </c>
    </row>
    <row r="216" customFormat="false" ht="15" hidden="false" customHeight="false" outlineLevel="0" collapsed="false">
      <c r="A216" s="9" t="n">
        <v>215</v>
      </c>
      <c r="B216" s="9" t="s">
        <v>318</v>
      </c>
      <c r="C216" s="9" t="s">
        <v>29</v>
      </c>
      <c r="D216" s="9" t="s">
        <v>208</v>
      </c>
      <c r="E216" s="9" t="s">
        <v>48</v>
      </c>
      <c r="F216" s="9" t="s">
        <v>317</v>
      </c>
      <c r="G216" s="9" t="s">
        <v>212</v>
      </c>
      <c r="H216" s="10" t="n">
        <v>0.168</v>
      </c>
      <c r="I216" s="9" t="str">
        <f aca="false">IF(OR(G216="links",G216="gegen UZS"),INDEX(Bezugspunkte!$C:$C,MATCH(F216,Bezugspunkte!$A:$A,0)),INDEX(Bezugspunkte!$E:$E,MATCH(F216,Bezugspunkte!$A:$A,0)))</f>
        <v>KA32</v>
      </c>
      <c r="J216" s="10" t="n">
        <f aca="false">IF(OR(G216="links",G216="gegen UZS"),INDEX(Bezugspunkte!$D:$D,MATCH(F216,Bezugspunkte!$A:$A,0)),INDEX(Bezugspunkte!$F:$F,MATCH(F216,Bezugspunkte!$A:$A,0)))</f>
        <v>8.509</v>
      </c>
      <c r="K216" s="10" t="n">
        <f aca="false">J216-H216</f>
        <v>8.341</v>
      </c>
      <c r="L216" s="10" t="n">
        <f aca="false">IF(AND(F216=F215,G216=G215),H216-H215,H216)</f>
        <v>0.168</v>
      </c>
      <c r="M216" s="10" t="n">
        <v>-11.422</v>
      </c>
      <c r="N216" s="10" t="n">
        <v>54.225</v>
      </c>
    </row>
    <row r="217" customFormat="false" ht="15" hidden="false" customHeight="false" outlineLevel="0" collapsed="false">
      <c r="A217" s="9" t="n">
        <v>216</v>
      </c>
      <c r="B217" s="9" t="s">
        <v>319</v>
      </c>
      <c r="C217" s="9" t="s">
        <v>37</v>
      </c>
      <c r="D217" s="9" t="s">
        <v>78</v>
      </c>
      <c r="E217" s="9" t="s">
        <v>48</v>
      </c>
      <c r="F217" s="9" t="s">
        <v>317</v>
      </c>
      <c r="G217" s="9" t="s">
        <v>212</v>
      </c>
      <c r="H217" s="10" t="n">
        <v>3.314</v>
      </c>
      <c r="I217" s="9" t="str">
        <f aca="false">IF(OR(G217="links",G217="gegen UZS"),INDEX(Bezugspunkte!$C:$C,MATCH(F217,Bezugspunkte!$A:$A,0)),INDEX(Bezugspunkte!$E:$E,MATCH(F217,Bezugspunkte!$A:$A,0)))</f>
        <v>KA32</v>
      </c>
      <c r="J217" s="10" t="n">
        <f aca="false">IF(OR(G217="links",G217="gegen UZS"),INDEX(Bezugspunkte!$D:$D,MATCH(F217,Bezugspunkte!$A:$A,0)),INDEX(Bezugspunkte!$F:$F,MATCH(F217,Bezugspunkte!$A:$A,0)))</f>
        <v>8.509</v>
      </c>
      <c r="K217" s="10" t="n">
        <f aca="false">J217-H217</f>
        <v>5.195</v>
      </c>
      <c r="L217" s="10" t="n">
        <f aca="false">IF(AND(F217=F216,G217=G216),H217-H216,H217)</f>
        <v>3.146</v>
      </c>
      <c r="M217" s="10" t="n">
        <v>-8.468</v>
      </c>
      <c r="N217" s="10" t="n">
        <v>55.325</v>
      </c>
    </row>
    <row r="218" customFormat="false" ht="15" hidden="false" customHeight="false" outlineLevel="0" collapsed="false">
      <c r="A218" s="9" t="n">
        <v>217</v>
      </c>
      <c r="B218" s="9" t="s">
        <v>320</v>
      </c>
      <c r="C218" s="9" t="s">
        <v>29</v>
      </c>
      <c r="D218" s="9" t="s">
        <v>208</v>
      </c>
      <c r="E218" s="9" t="s">
        <v>48</v>
      </c>
      <c r="F218" s="9" t="s">
        <v>317</v>
      </c>
      <c r="G218" s="9" t="s">
        <v>212</v>
      </c>
      <c r="H218" s="10" t="n">
        <v>5.87</v>
      </c>
      <c r="I218" s="9" t="str">
        <f aca="false">IF(OR(G218="links",G218="gegen UZS"),INDEX(Bezugspunkte!$C:$C,MATCH(F218,Bezugspunkte!$A:$A,0)),INDEX(Bezugspunkte!$E:$E,MATCH(F218,Bezugspunkte!$A:$A,0)))</f>
        <v>KA32</v>
      </c>
      <c r="J218" s="10" t="n">
        <f aca="false">IF(OR(G218="links",G218="gegen UZS"),INDEX(Bezugspunkte!$D:$D,MATCH(F218,Bezugspunkte!$A:$A,0)),INDEX(Bezugspunkte!$F:$F,MATCH(F218,Bezugspunkte!$A:$A,0)))</f>
        <v>8.509</v>
      </c>
      <c r="K218" s="10" t="n">
        <f aca="false">J218-H218</f>
        <v>2.639</v>
      </c>
      <c r="L218" s="10" t="n">
        <f aca="false">IF(AND(F218=F217,G218=G217),H218-H217,H218)</f>
        <v>2.556</v>
      </c>
      <c r="M218" s="10" t="n">
        <v>-5.979</v>
      </c>
      <c r="N218" s="10" t="n">
        <v>55.925</v>
      </c>
    </row>
    <row r="219" customFormat="false" ht="15" hidden="false" customHeight="false" outlineLevel="0" collapsed="false">
      <c r="A219" s="9" t="n">
        <v>218</v>
      </c>
      <c r="B219" s="9" t="s">
        <v>321</v>
      </c>
      <c r="C219" s="9" t="s">
        <v>29</v>
      </c>
      <c r="D219" s="9" t="s">
        <v>208</v>
      </c>
      <c r="E219" s="9" t="s">
        <v>49</v>
      </c>
      <c r="F219" s="9" t="s">
        <v>322</v>
      </c>
      <c r="G219" s="9" t="s">
        <v>210</v>
      </c>
      <c r="H219" s="10" t="n">
        <v>2.257</v>
      </c>
      <c r="I219" s="9" t="str">
        <f aca="false">IF(OR(G219="links",G219="gegen UZS"),INDEX(Bezugspunkte!$C:$C,MATCH(F219,Bezugspunkte!$A:$A,0)),INDEX(Bezugspunkte!$E:$E,MATCH(F219,Bezugspunkte!$A:$A,0)))</f>
        <v>KI20</v>
      </c>
      <c r="J219" s="10" t="n">
        <f aca="false">IF(OR(G219="links",G219="gegen UZS"),INDEX(Bezugspunkte!$D:$D,MATCH(F219,Bezugspunkte!$A:$A,0)),INDEX(Bezugspunkte!$F:$F,MATCH(F219,Bezugspunkte!$A:$A,0)))</f>
        <v>6.364</v>
      </c>
      <c r="K219" s="10" t="n">
        <f aca="false">J219-H219</f>
        <v>4.107</v>
      </c>
      <c r="L219" s="10" t="n">
        <f aca="false">IF(AND(F219=F218,G219=G218),H219-H218,H219)</f>
        <v>2.257</v>
      </c>
      <c r="M219" s="10" t="n">
        <v>1.376</v>
      </c>
      <c r="N219" s="10" t="n">
        <v>43.43</v>
      </c>
    </row>
    <row r="220" customFormat="false" ht="15" hidden="false" customHeight="false" outlineLevel="0" collapsed="false">
      <c r="A220" s="9" t="n">
        <v>219</v>
      </c>
      <c r="B220" s="9" t="s">
        <v>323</v>
      </c>
      <c r="C220" s="9" t="s">
        <v>29</v>
      </c>
      <c r="D220" s="9" t="s">
        <v>208</v>
      </c>
      <c r="E220" s="9" t="s">
        <v>49</v>
      </c>
      <c r="F220" s="9" t="s">
        <v>322</v>
      </c>
      <c r="G220" s="9" t="s">
        <v>210</v>
      </c>
      <c r="H220" s="10" t="n">
        <v>5.056</v>
      </c>
      <c r="I220" s="9" t="str">
        <f aca="false">IF(OR(G220="links",G220="gegen UZS"),INDEX(Bezugspunkte!$C:$C,MATCH(F220,Bezugspunkte!$A:$A,0)),INDEX(Bezugspunkte!$E:$E,MATCH(F220,Bezugspunkte!$A:$A,0)))</f>
        <v>KI20</v>
      </c>
      <c r="J220" s="10" t="n">
        <f aca="false">IF(OR(G220="links",G220="gegen UZS"),INDEX(Bezugspunkte!$D:$D,MATCH(F220,Bezugspunkte!$A:$A,0)),INDEX(Bezugspunkte!$F:$F,MATCH(F220,Bezugspunkte!$A:$A,0)))</f>
        <v>6.364</v>
      </c>
      <c r="K220" s="10" t="n">
        <f aca="false">J220-H220</f>
        <v>1.308</v>
      </c>
      <c r="L220" s="10" t="n">
        <f aca="false">IF(AND(F220=F219,G220=G219),H220-H219,H220)</f>
        <v>2.799</v>
      </c>
      <c r="M220" s="10" t="n">
        <v>-1.424</v>
      </c>
      <c r="N220" s="10" t="n">
        <v>43.43</v>
      </c>
    </row>
    <row r="221" customFormat="false" ht="15" hidden="false" customHeight="false" outlineLevel="0" collapsed="false">
      <c r="A221" s="9" t="n">
        <v>220</v>
      </c>
      <c r="B221" s="9" t="s">
        <v>324</v>
      </c>
      <c r="C221" s="9" t="s">
        <v>29</v>
      </c>
      <c r="D221" s="9" t="s">
        <v>208</v>
      </c>
      <c r="E221" s="9" t="s">
        <v>49</v>
      </c>
      <c r="F221" s="9" t="s">
        <v>322</v>
      </c>
      <c r="G221" s="9" t="s">
        <v>212</v>
      </c>
      <c r="H221" s="10" t="n">
        <v>0.633</v>
      </c>
      <c r="I221" s="9" t="str">
        <f aca="false">IF(OR(G221="links",G221="gegen UZS"),INDEX(Bezugspunkte!$C:$C,MATCH(F221,Bezugspunkte!$A:$A,0)),INDEX(Bezugspunkte!$E:$E,MATCH(F221,Bezugspunkte!$A:$A,0)))</f>
        <v>KI02</v>
      </c>
      <c r="J221" s="10" t="n">
        <f aca="false">IF(OR(G221="links",G221="gegen UZS"),INDEX(Bezugspunkte!$D:$D,MATCH(F221,Bezugspunkte!$A:$A,0)),INDEX(Bezugspunkte!$F:$F,MATCH(F221,Bezugspunkte!$A:$A,0)))</f>
        <v>6.337</v>
      </c>
      <c r="K221" s="10" t="n">
        <f aca="false">J221-H221</f>
        <v>5.704</v>
      </c>
      <c r="L221" s="10" t="n">
        <f aca="false">IF(AND(F221=F220,G221=G220),H221-H220,H221)</f>
        <v>0.633</v>
      </c>
      <c r="M221" s="10" t="n">
        <v>4.175</v>
      </c>
      <c r="N221" s="10" t="n">
        <v>42.831</v>
      </c>
    </row>
    <row r="222" customFormat="false" ht="15" hidden="false" customHeight="false" outlineLevel="0" collapsed="false">
      <c r="A222" s="9" t="n">
        <v>221</v>
      </c>
      <c r="B222" s="9" t="s">
        <v>325</v>
      </c>
      <c r="C222" s="9" t="s">
        <v>29</v>
      </c>
      <c r="D222" s="9" t="s">
        <v>208</v>
      </c>
      <c r="E222" s="9" t="s">
        <v>49</v>
      </c>
      <c r="F222" s="9" t="s">
        <v>322</v>
      </c>
      <c r="G222" s="9" t="s">
        <v>212</v>
      </c>
      <c r="H222" s="10" t="n">
        <v>3.386</v>
      </c>
      <c r="I222" s="9" t="str">
        <f aca="false">IF(OR(G222="links",G222="gegen UZS"),INDEX(Bezugspunkte!$C:$C,MATCH(F222,Bezugspunkte!$A:$A,0)),INDEX(Bezugspunkte!$E:$E,MATCH(F222,Bezugspunkte!$A:$A,0)))</f>
        <v>KI02</v>
      </c>
      <c r="J222" s="10" t="n">
        <f aca="false">IF(OR(G222="links",G222="gegen UZS"),INDEX(Bezugspunkte!$D:$D,MATCH(F222,Bezugspunkte!$A:$A,0)),INDEX(Bezugspunkte!$F:$F,MATCH(F222,Bezugspunkte!$A:$A,0)))</f>
        <v>6.337</v>
      </c>
      <c r="K222" s="10" t="n">
        <f aca="false">J222-H222</f>
        <v>2.951</v>
      </c>
      <c r="L222" s="10" t="n">
        <f aca="false">IF(AND(F222=F221,G222=G221),H222-H221,H222)</f>
        <v>2.753</v>
      </c>
      <c r="M222" s="10" t="n">
        <v>6.791</v>
      </c>
      <c r="N222" s="10" t="n">
        <v>41.942</v>
      </c>
    </row>
    <row r="223" customFormat="false" ht="15" hidden="false" customHeight="false" outlineLevel="0" collapsed="false">
      <c r="A223" s="9" t="n">
        <v>222</v>
      </c>
      <c r="B223" s="9" t="s">
        <v>326</v>
      </c>
      <c r="C223" s="9" t="s">
        <v>29</v>
      </c>
      <c r="D223" s="9" t="s">
        <v>208</v>
      </c>
      <c r="E223" s="9" t="s">
        <v>49</v>
      </c>
      <c r="F223" s="9" t="s">
        <v>322</v>
      </c>
      <c r="G223" s="9" t="s">
        <v>212</v>
      </c>
      <c r="H223" s="10" t="n">
        <v>6.109</v>
      </c>
      <c r="I223" s="9" t="str">
        <f aca="false">IF(OR(G223="links",G223="gegen UZS"),INDEX(Bezugspunkte!$C:$C,MATCH(F223,Bezugspunkte!$A:$A,0)),INDEX(Bezugspunkte!$E:$E,MATCH(F223,Bezugspunkte!$A:$A,0)))</f>
        <v>KI02</v>
      </c>
      <c r="J223" s="10" t="n">
        <f aca="false">IF(OR(G223="links",G223="gegen UZS"),INDEX(Bezugspunkte!$D:$D,MATCH(F223,Bezugspunkte!$A:$A,0)),INDEX(Bezugspunkte!$F:$F,MATCH(F223,Bezugspunkte!$A:$A,0)))</f>
        <v>6.337</v>
      </c>
      <c r="K223" s="10" t="n">
        <f aca="false">J223-H223</f>
        <v>0.228</v>
      </c>
      <c r="L223" s="10" t="n">
        <f aca="false">IF(AND(F223=F222,G223=G222),H223-H222,H223)</f>
        <v>2.723</v>
      </c>
      <c r="M223" s="10" t="n">
        <v>9.167</v>
      </c>
      <c r="N223" s="10" t="n">
        <v>40.581</v>
      </c>
    </row>
    <row r="224" customFormat="false" ht="15" hidden="false" customHeight="false" outlineLevel="0" collapsed="false">
      <c r="A224" s="9" t="n">
        <v>223</v>
      </c>
      <c r="B224" s="9" t="s">
        <v>327</v>
      </c>
      <c r="C224" s="9" t="s">
        <v>29</v>
      </c>
      <c r="D224" s="9" t="s">
        <v>208</v>
      </c>
      <c r="E224" s="9" t="s">
        <v>49</v>
      </c>
      <c r="F224" s="9" t="s">
        <v>328</v>
      </c>
      <c r="G224" s="9" t="s">
        <v>210</v>
      </c>
      <c r="H224" s="10" t="n">
        <v>1.336</v>
      </c>
      <c r="I224" s="9" t="str">
        <f aca="false">IF(OR(G224="links",G224="gegen UZS"),INDEX(Bezugspunkte!$C:$C,MATCH(F224,Bezugspunkte!$A:$A,0)),INDEX(Bezugspunkte!$E:$E,MATCH(F224,Bezugspunkte!$A:$A,0)))</f>
        <v>KI02</v>
      </c>
      <c r="J224" s="10" t="n">
        <f aca="false">IF(OR(G224="links",G224="gegen UZS"),INDEX(Bezugspunkte!$D:$D,MATCH(F224,Bezugspunkte!$A:$A,0)),INDEX(Bezugspunkte!$F:$F,MATCH(F224,Bezugspunkte!$A:$A,0)))</f>
        <v>6.65</v>
      </c>
      <c r="K224" s="10" t="n">
        <f aca="false">J224-H224</f>
        <v>5.314</v>
      </c>
      <c r="L224" s="10" t="n">
        <f aca="false">IF(AND(F224=F223,G224=G223),H224-H223,H224)</f>
        <v>1.336</v>
      </c>
      <c r="M224" s="10" t="n">
        <v>13.165</v>
      </c>
      <c r="N224" s="10" t="n">
        <v>36.837</v>
      </c>
    </row>
    <row r="225" customFormat="false" ht="15" hidden="false" customHeight="false" outlineLevel="0" collapsed="false">
      <c r="A225" s="9" t="n">
        <v>224</v>
      </c>
      <c r="B225" s="9" t="s">
        <v>329</v>
      </c>
      <c r="C225" s="9" t="s">
        <v>29</v>
      </c>
      <c r="D225" s="9" t="s">
        <v>208</v>
      </c>
      <c r="E225" s="9" t="s">
        <v>49</v>
      </c>
      <c r="F225" s="9" t="s">
        <v>328</v>
      </c>
      <c r="G225" s="9" t="s">
        <v>210</v>
      </c>
      <c r="H225" s="10" t="n">
        <v>4.128</v>
      </c>
      <c r="I225" s="9" t="str">
        <f aca="false">IF(OR(G225="links",G225="gegen UZS"),INDEX(Bezugspunkte!$C:$C,MATCH(F225,Bezugspunkte!$A:$A,0)),INDEX(Bezugspunkte!$E:$E,MATCH(F225,Bezugspunkte!$A:$A,0)))</f>
        <v>KI02</v>
      </c>
      <c r="J225" s="10" t="n">
        <f aca="false">IF(OR(G225="links",G225="gegen UZS"),INDEX(Bezugspunkte!$D:$D,MATCH(F225,Bezugspunkte!$A:$A,0)),INDEX(Bezugspunkte!$F:$F,MATCH(F225,Bezugspunkte!$A:$A,0)))</f>
        <v>6.65</v>
      </c>
      <c r="K225" s="10" t="n">
        <f aca="false">J225-H225</f>
        <v>2.522</v>
      </c>
      <c r="L225" s="10" t="n">
        <f aca="false">IF(AND(F225=F224,G225=G224),H225-H224,H225)</f>
        <v>2.792</v>
      </c>
      <c r="M225" s="10" t="n">
        <v>11.318</v>
      </c>
      <c r="N225" s="10" t="n">
        <v>38.931</v>
      </c>
    </row>
    <row r="226" customFormat="false" ht="15" hidden="false" customHeight="false" outlineLevel="0" collapsed="false">
      <c r="A226" s="9" t="n">
        <v>225</v>
      </c>
      <c r="B226" s="9" t="s">
        <v>330</v>
      </c>
      <c r="C226" s="9" t="s">
        <v>29</v>
      </c>
      <c r="D226" s="9" t="s">
        <v>208</v>
      </c>
      <c r="E226" s="9" t="s">
        <v>49</v>
      </c>
      <c r="F226" s="9" t="s">
        <v>328</v>
      </c>
      <c r="G226" s="9" t="s">
        <v>212</v>
      </c>
      <c r="H226" s="10" t="n">
        <v>1.334</v>
      </c>
      <c r="I226" s="9" t="str">
        <f aca="false">IF(OR(G226="links",G226="gegen UZS"),INDEX(Bezugspunkte!$C:$C,MATCH(F226,Bezugspunkte!$A:$A,0)),INDEX(Bezugspunkte!$E:$E,MATCH(F226,Bezugspunkte!$A:$A,0)))</f>
        <v>Q1-R</v>
      </c>
      <c r="J226" s="10" t="n">
        <f aca="false">IF(OR(G226="links",G226="gegen UZS"),INDEX(Bezugspunkte!$D:$D,MATCH(F226,Bezugspunkte!$A:$A,0)),INDEX(Bezugspunkte!$F:$F,MATCH(F226,Bezugspunkte!$A:$A,0)))</f>
        <v>2.347</v>
      </c>
      <c r="K226" s="10" t="n">
        <f aca="false">J226-H226</f>
        <v>1.013</v>
      </c>
      <c r="L226" s="10" t="n">
        <f aca="false">IF(AND(F226=F225,G226=G225),H226-H225,H226)</f>
        <v>1.334</v>
      </c>
      <c r="M226" s="10" t="n">
        <v>14.618</v>
      </c>
      <c r="N226" s="10" t="n">
        <v>34.539</v>
      </c>
    </row>
    <row r="227" customFormat="false" ht="15" hidden="false" customHeight="false" outlineLevel="0" collapsed="false">
      <c r="A227" s="9" t="n">
        <v>226</v>
      </c>
      <c r="B227" s="9" t="s">
        <v>331</v>
      </c>
      <c r="C227" s="9" t="s">
        <v>29</v>
      </c>
      <c r="D227" s="9" t="s">
        <v>208</v>
      </c>
      <c r="E227" s="9" t="s">
        <v>49</v>
      </c>
      <c r="F227" s="9" t="s">
        <v>332</v>
      </c>
      <c r="G227" s="9" t="s">
        <v>210</v>
      </c>
      <c r="H227" s="10" t="n">
        <v>0.643</v>
      </c>
      <c r="I227" s="9" t="str">
        <f aca="false">IF(OR(G227="links",G227="gegen UZS"),INDEX(Bezugspunkte!$C:$C,MATCH(F227,Bezugspunkte!$A:$A,0)),INDEX(Bezugspunkte!$E:$E,MATCH(F227,Bezugspunkte!$A:$A,0)))</f>
        <v>Q1-R</v>
      </c>
      <c r="J227" s="10" t="n">
        <f aca="false">IF(OR(G227="links",G227="gegen UZS"),INDEX(Bezugspunkte!$D:$D,MATCH(F227,Bezugspunkte!$A:$A,0)),INDEX(Bezugspunkte!$F:$F,MATCH(F227,Bezugspunkte!$A:$A,0)))</f>
        <v>5.143</v>
      </c>
      <c r="K227" s="10" t="n">
        <f aca="false">J227-H227</f>
        <v>4.5</v>
      </c>
      <c r="L227" s="10" t="n">
        <f aca="false">IF(AND(F227=F226,G227=G226),H227-H226,H227)</f>
        <v>0.643</v>
      </c>
      <c r="M227" s="10" t="n">
        <v>16.465</v>
      </c>
      <c r="N227" s="10" t="n">
        <v>29.342</v>
      </c>
    </row>
    <row r="228" customFormat="false" ht="15" hidden="false" customHeight="false" outlineLevel="0" collapsed="false">
      <c r="A228" s="9" t="n">
        <v>227</v>
      </c>
      <c r="B228" s="9" t="s">
        <v>333</v>
      </c>
      <c r="C228" s="9" t="s">
        <v>29</v>
      </c>
      <c r="D228" s="9" t="s">
        <v>208</v>
      </c>
      <c r="E228" s="9" t="s">
        <v>49</v>
      </c>
      <c r="F228" s="9" t="s">
        <v>332</v>
      </c>
      <c r="G228" s="9" t="s">
        <v>210</v>
      </c>
      <c r="H228" s="10" t="n">
        <v>3.424</v>
      </c>
      <c r="I228" s="9" t="str">
        <f aca="false">IF(OR(G228="links",G228="gegen UZS"),INDEX(Bezugspunkte!$C:$C,MATCH(F228,Bezugspunkte!$A:$A,0)),INDEX(Bezugspunkte!$E:$E,MATCH(F228,Bezugspunkte!$A:$A,0)))</f>
        <v>Q1-R</v>
      </c>
      <c r="J228" s="10" t="n">
        <f aca="false">IF(OR(G228="links",G228="gegen UZS"),INDEX(Bezugspunkte!$D:$D,MATCH(F228,Bezugspunkte!$A:$A,0)),INDEX(Bezugspunkte!$F:$F,MATCH(F228,Bezugspunkte!$A:$A,0)))</f>
        <v>5.143</v>
      </c>
      <c r="K228" s="10" t="n">
        <f aca="false">J228-H228</f>
        <v>1.719</v>
      </c>
      <c r="L228" s="10" t="n">
        <f aca="false">IF(AND(F228=F227,G228=G227),H228-H227,H228)</f>
        <v>2.781</v>
      </c>
      <c r="M228" s="10" t="n">
        <v>15.668</v>
      </c>
      <c r="N228" s="10" t="n">
        <v>32.007</v>
      </c>
    </row>
    <row r="229" customFormat="false" ht="15" hidden="false" customHeight="false" outlineLevel="0" collapsed="false">
      <c r="A229" s="9" t="n">
        <v>228</v>
      </c>
      <c r="B229" s="9" t="s">
        <v>334</v>
      </c>
      <c r="C229" s="9" t="s">
        <v>29</v>
      </c>
      <c r="D229" s="9" t="s">
        <v>208</v>
      </c>
      <c r="E229" s="9" t="s">
        <v>49</v>
      </c>
      <c r="F229" s="9" t="s">
        <v>332</v>
      </c>
      <c r="G229" s="9" t="s">
        <v>212</v>
      </c>
      <c r="H229" s="10" t="n">
        <v>2.07</v>
      </c>
      <c r="I229" s="9" t="str">
        <f aca="false">IF(OR(G229="links",G229="gegen UZS"),INDEX(Bezugspunkte!$C:$C,MATCH(F229,Bezugspunkte!$A:$A,0)),INDEX(Bezugspunkte!$E:$E,MATCH(F229,Bezugspunkte!$A:$A,0)))</f>
        <v>KI05</v>
      </c>
      <c r="J229" s="10" t="n">
        <f aca="false">IF(OR(G229="links",G229="gegen UZS"),INDEX(Bezugspunkte!$D:$D,MATCH(F229,Bezugspunkte!$A:$A,0)),INDEX(Bezugspunkte!$F:$F,MATCH(F229,Bezugspunkte!$A:$A,0)))</f>
        <v>6.686</v>
      </c>
      <c r="K229" s="10" t="n">
        <f aca="false">J229-H229</f>
        <v>4.616</v>
      </c>
      <c r="L229" s="10" t="n">
        <f aca="false">IF(AND(F229=F228,G229=G228),H229-H228,H229)</f>
        <v>2.07</v>
      </c>
      <c r="M229" s="10" t="n">
        <v>16.916</v>
      </c>
      <c r="N229" s="10" t="n">
        <v>26.592</v>
      </c>
    </row>
    <row r="230" customFormat="false" ht="15" hidden="false" customHeight="false" outlineLevel="0" collapsed="false">
      <c r="A230" s="9" t="n">
        <v>229</v>
      </c>
      <c r="B230" s="9" t="s">
        <v>335</v>
      </c>
      <c r="C230" s="9" t="s">
        <v>29</v>
      </c>
      <c r="D230" s="9" t="s">
        <v>208</v>
      </c>
      <c r="E230" s="9" t="s">
        <v>49</v>
      </c>
      <c r="F230" s="9" t="s">
        <v>332</v>
      </c>
      <c r="G230" s="9" t="s">
        <v>212</v>
      </c>
      <c r="H230" s="10" t="n">
        <v>4.819</v>
      </c>
      <c r="I230" s="9" t="str">
        <f aca="false">IF(OR(G230="links",G230="gegen UZS"),INDEX(Bezugspunkte!$C:$C,MATCH(F230,Bezugspunkte!$A:$A,0)),INDEX(Bezugspunkte!$E:$E,MATCH(F230,Bezugspunkte!$A:$A,0)))</f>
        <v>KI05</v>
      </c>
      <c r="J230" s="10" t="n">
        <f aca="false">IF(OR(G230="links",G230="gegen UZS"),INDEX(Bezugspunkte!$D:$D,MATCH(F230,Bezugspunkte!$A:$A,0)),INDEX(Bezugspunkte!$F:$F,MATCH(F230,Bezugspunkte!$A:$A,0)))</f>
        <v>6.686</v>
      </c>
      <c r="K230" s="10" t="n">
        <f aca="false">J230-H230</f>
        <v>1.867</v>
      </c>
      <c r="L230" s="10" t="n">
        <f aca="false">IF(AND(F230=F229,G230=G229),H230-H229,H230)</f>
        <v>2.749</v>
      </c>
      <c r="M230" s="10" t="n">
        <v>17.064</v>
      </c>
      <c r="N230" s="10" t="n">
        <v>23.842</v>
      </c>
    </row>
    <row r="231" customFormat="false" ht="15" hidden="false" customHeight="false" outlineLevel="0" collapsed="false">
      <c r="A231" s="9" t="n">
        <v>230</v>
      </c>
      <c r="B231" s="9" t="s">
        <v>336</v>
      </c>
      <c r="C231" s="9" t="s">
        <v>31</v>
      </c>
      <c r="D231" s="9" t="s">
        <v>89</v>
      </c>
      <c r="E231" s="9" t="s">
        <v>49</v>
      </c>
      <c r="F231" s="9" t="s">
        <v>337</v>
      </c>
      <c r="G231" s="9" t="s">
        <v>210</v>
      </c>
      <c r="H231" s="10" t="n">
        <v>0.036</v>
      </c>
      <c r="I231" s="9" t="str">
        <f aca="false">IF(OR(G231="links",G231="gegen UZS"),INDEX(Bezugspunkte!$C:$C,MATCH(F231,Bezugspunkte!$A:$A,0)),INDEX(Bezugspunkte!$E:$E,MATCH(F231,Bezugspunkte!$A:$A,0)))</f>
        <v>KI05</v>
      </c>
      <c r="J231" s="10" t="n">
        <f aca="false">IF(OR(G231="links",G231="gegen UZS"),INDEX(Bezugspunkte!$D:$D,MATCH(F231,Bezugspunkte!$A:$A,0)),INDEX(Bezugspunkte!$F:$F,MATCH(F231,Bezugspunkte!$A:$A,0)))</f>
        <v>15.247</v>
      </c>
      <c r="K231" s="10" t="n">
        <f aca="false">J231-H231</f>
        <v>15.211</v>
      </c>
      <c r="L231" s="10" t="n">
        <f aca="false">IF(AND(F231=F230,G231=G230),H231-H230,H231)</f>
        <v>0.036</v>
      </c>
      <c r="M231" s="10" t="n">
        <v>16.867</v>
      </c>
      <c r="N231" s="10" t="n">
        <v>6.75</v>
      </c>
    </row>
    <row r="232" customFormat="false" ht="15" hidden="false" customHeight="false" outlineLevel="0" collapsed="false">
      <c r="A232" s="9" t="n">
        <v>231</v>
      </c>
      <c r="B232" s="9" t="s">
        <v>338</v>
      </c>
      <c r="C232" s="9" t="s">
        <v>29</v>
      </c>
      <c r="D232" s="9" t="s">
        <v>208</v>
      </c>
      <c r="E232" s="9" t="s">
        <v>49</v>
      </c>
      <c r="F232" s="9" t="s">
        <v>337</v>
      </c>
      <c r="G232" s="9" t="s">
        <v>210</v>
      </c>
      <c r="H232" s="10" t="n">
        <v>2.334</v>
      </c>
      <c r="I232" s="9" t="str">
        <f aca="false">IF(OR(G232="links",G232="gegen UZS"),INDEX(Bezugspunkte!$C:$C,MATCH(F232,Bezugspunkte!$A:$A,0)),INDEX(Bezugspunkte!$E:$E,MATCH(F232,Bezugspunkte!$A:$A,0)))</f>
        <v>KI05</v>
      </c>
      <c r="J232" s="10" t="n">
        <f aca="false">IF(OR(G232="links",G232="gegen UZS"),INDEX(Bezugspunkte!$D:$D,MATCH(F232,Bezugspunkte!$A:$A,0)),INDEX(Bezugspunkte!$F:$F,MATCH(F232,Bezugspunkte!$A:$A,0)))</f>
        <v>15.247</v>
      </c>
      <c r="K232" s="10" t="n">
        <f aca="false">J232-H232</f>
        <v>12.913</v>
      </c>
      <c r="L232" s="10" t="n">
        <f aca="false">IF(AND(F232=F231,G232=G231),H232-H231,H232)</f>
        <v>2.298</v>
      </c>
      <c r="M232" s="10" t="n">
        <v>17.311</v>
      </c>
      <c r="N232" s="10" t="n">
        <v>9.049</v>
      </c>
    </row>
    <row r="233" customFormat="false" ht="15" hidden="false" customHeight="false" outlineLevel="0" collapsed="false">
      <c r="A233" s="9" t="n">
        <v>232</v>
      </c>
      <c r="B233" s="9" t="s">
        <v>339</v>
      </c>
      <c r="C233" s="9" t="s">
        <v>31</v>
      </c>
      <c r="D233" s="9" t="s">
        <v>89</v>
      </c>
      <c r="E233" s="9" t="s">
        <v>49</v>
      </c>
      <c r="F233" s="9" t="s">
        <v>337</v>
      </c>
      <c r="G233" s="9" t="s">
        <v>210</v>
      </c>
      <c r="H233" s="10" t="n">
        <v>4.632</v>
      </c>
      <c r="I233" s="9" t="str">
        <f aca="false">IF(OR(G233="links",G233="gegen UZS"),INDEX(Bezugspunkte!$C:$C,MATCH(F233,Bezugspunkte!$A:$A,0)),INDEX(Bezugspunkte!$E:$E,MATCH(F233,Bezugspunkte!$A:$A,0)))</f>
        <v>KI05</v>
      </c>
      <c r="J233" s="10" t="n">
        <f aca="false">IF(OR(G233="links",G233="gegen UZS"),INDEX(Bezugspunkte!$D:$D,MATCH(F233,Bezugspunkte!$A:$A,0)),INDEX(Bezugspunkte!$F:$F,MATCH(F233,Bezugspunkte!$A:$A,0)))</f>
        <v>15.247</v>
      </c>
      <c r="K233" s="10" t="n">
        <f aca="false">J233-H233</f>
        <v>10.615</v>
      </c>
      <c r="L233" s="10" t="n">
        <f aca="false">IF(AND(F233=F232,G233=G232),H233-H232,H233)</f>
        <v>2.298</v>
      </c>
      <c r="M233" s="10" t="n">
        <v>16.867</v>
      </c>
      <c r="N233" s="10" t="n">
        <v>11.347</v>
      </c>
    </row>
    <row r="234" customFormat="false" ht="15" hidden="false" customHeight="false" outlineLevel="0" collapsed="false">
      <c r="A234" s="9" t="n">
        <v>233</v>
      </c>
      <c r="B234" s="9" t="s">
        <v>340</v>
      </c>
      <c r="C234" s="9" t="s">
        <v>29</v>
      </c>
      <c r="D234" s="9" t="s">
        <v>208</v>
      </c>
      <c r="E234" s="9" t="s">
        <v>49</v>
      </c>
      <c r="F234" s="9" t="s">
        <v>337</v>
      </c>
      <c r="G234" s="9" t="s">
        <v>210</v>
      </c>
      <c r="H234" s="10" t="n">
        <v>5.338</v>
      </c>
      <c r="I234" s="9" t="str">
        <f aca="false">IF(OR(G234="links",G234="gegen UZS"),INDEX(Bezugspunkte!$C:$C,MATCH(F234,Bezugspunkte!$A:$A,0)),INDEX(Bezugspunkte!$E:$E,MATCH(F234,Bezugspunkte!$A:$A,0)))</f>
        <v>KI05</v>
      </c>
      <c r="J234" s="10" t="n">
        <f aca="false">IF(OR(G234="links",G234="gegen UZS"),INDEX(Bezugspunkte!$D:$D,MATCH(F234,Bezugspunkte!$A:$A,0)),INDEX(Bezugspunkte!$F:$F,MATCH(F234,Bezugspunkte!$A:$A,0)))</f>
        <v>15.247</v>
      </c>
      <c r="K234" s="10" t="n">
        <f aca="false">J234-H234</f>
        <v>9.909</v>
      </c>
      <c r="L234" s="10" t="n">
        <f aca="false">IF(AND(F234=F233,G234=G233),H234-H233,H234)</f>
        <v>0.706</v>
      </c>
      <c r="M234" s="10" t="n">
        <v>17.311</v>
      </c>
      <c r="N234" s="10" t="n">
        <v>12.053</v>
      </c>
    </row>
    <row r="235" customFormat="false" ht="15" hidden="false" customHeight="false" outlineLevel="0" collapsed="false">
      <c r="A235" s="9" t="n">
        <v>234</v>
      </c>
      <c r="B235" s="9" t="s">
        <v>341</v>
      </c>
      <c r="C235" s="9" t="s">
        <v>31</v>
      </c>
      <c r="D235" s="9" t="s">
        <v>89</v>
      </c>
      <c r="E235" s="9" t="s">
        <v>49</v>
      </c>
      <c r="F235" s="9" t="s">
        <v>337</v>
      </c>
      <c r="G235" s="9" t="s">
        <v>210</v>
      </c>
      <c r="H235" s="10" t="n">
        <v>6.035</v>
      </c>
      <c r="I235" s="9" t="str">
        <f aca="false">IF(OR(G235="links",G235="gegen UZS"),INDEX(Bezugspunkte!$C:$C,MATCH(F235,Bezugspunkte!$A:$A,0)),INDEX(Bezugspunkte!$E:$E,MATCH(F235,Bezugspunkte!$A:$A,0)))</f>
        <v>KI05</v>
      </c>
      <c r="J235" s="10" t="n">
        <f aca="false">IF(OR(G235="links",G235="gegen UZS"),INDEX(Bezugspunkte!$D:$D,MATCH(F235,Bezugspunkte!$A:$A,0)),INDEX(Bezugspunkte!$F:$F,MATCH(F235,Bezugspunkte!$A:$A,0)))</f>
        <v>15.247</v>
      </c>
      <c r="K235" s="10" t="n">
        <f aca="false">J235-H235</f>
        <v>9.212</v>
      </c>
      <c r="L235" s="10" t="n">
        <f aca="false">IF(AND(F235=F234,G235=G234),H235-H234,H235)</f>
        <v>0.697</v>
      </c>
      <c r="M235" s="10" t="n">
        <v>16.867</v>
      </c>
      <c r="N235" s="10" t="n">
        <v>12.751</v>
      </c>
    </row>
    <row r="236" customFormat="false" ht="15" hidden="false" customHeight="false" outlineLevel="0" collapsed="false">
      <c r="A236" s="9" t="n">
        <v>235</v>
      </c>
      <c r="B236" s="9" t="s">
        <v>342</v>
      </c>
      <c r="C236" s="9" t="s">
        <v>29</v>
      </c>
      <c r="D236" s="9" t="s">
        <v>208</v>
      </c>
      <c r="E236" s="9" t="s">
        <v>49</v>
      </c>
      <c r="F236" s="9" t="s">
        <v>337</v>
      </c>
      <c r="G236" s="9" t="s">
        <v>210</v>
      </c>
      <c r="H236" s="10" t="n">
        <v>8.335</v>
      </c>
      <c r="I236" s="9" t="str">
        <f aca="false">IF(OR(G236="links",G236="gegen UZS"),INDEX(Bezugspunkte!$C:$C,MATCH(F236,Bezugspunkte!$A:$A,0)),INDEX(Bezugspunkte!$E:$E,MATCH(F236,Bezugspunkte!$A:$A,0)))</f>
        <v>KI05</v>
      </c>
      <c r="J236" s="10" t="n">
        <f aca="false">IF(OR(G236="links",G236="gegen UZS"),INDEX(Bezugspunkte!$D:$D,MATCH(F236,Bezugspunkte!$A:$A,0)),INDEX(Bezugspunkte!$F:$F,MATCH(F236,Bezugspunkte!$A:$A,0)))</f>
        <v>15.247</v>
      </c>
      <c r="K236" s="10" t="n">
        <f aca="false">J236-H236</f>
        <v>6.912</v>
      </c>
      <c r="L236" s="10" t="n">
        <f aca="false">IF(AND(F236=F235,G236=G235),H236-H235,H236)</f>
        <v>2.3</v>
      </c>
      <c r="M236" s="10" t="n">
        <v>17.311</v>
      </c>
      <c r="N236" s="10" t="n">
        <v>15.049</v>
      </c>
    </row>
    <row r="237" customFormat="false" ht="15" hidden="false" customHeight="false" outlineLevel="0" collapsed="false">
      <c r="A237" s="9" t="n">
        <v>236</v>
      </c>
      <c r="B237" s="9" t="s">
        <v>343</v>
      </c>
      <c r="C237" s="9" t="s">
        <v>31</v>
      </c>
      <c r="D237" s="9" t="s">
        <v>89</v>
      </c>
      <c r="E237" s="9" t="s">
        <v>49</v>
      </c>
      <c r="F237" s="9" t="s">
        <v>337</v>
      </c>
      <c r="G237" s="9" t="s">
        <v>210</v>
      </c>
      <c r="H237" s="10" t="n">
        <v>9.032</v>
      </c>
      <c r="I237" s="9" t="str">
        <f aca="false">IF(OR(G237="links",G237="gegen UZS"),INDEX(Bezugspunkte!$C:$C,MATCH(F237,Bezugspunkte!$A:$A,0)),INDEX(Bezugspunkte!$E:$E,MATCH(F237,Bezugspunkte!$A:$A,0)))</f>
        <v>KI05</v>
      </c>
      <c r="J237" s="10" t="n">
        <f aca="false">IF(OR(G237="links",G237="gegen UZS"),INDEX(Bezugspunkte!$D:$D,MATCH(F237,Bezugspunkte!$A:$A,0)),INDEX(Bezugspunkte!$F:$F,MATCH(F237,Bezugspunkte!$A:$A,0)))</f>
        <v>15.247</v>
      </c>
      <c r="K237" s="10" t="n">
        <f aca="false">J237-H237</f>
        <v>6.215</v>
      </c>
      <c r="L237" s="10" t="n">
        <f aca="false">IF(AND(F237=F236,G237=G236),H237-H236,H237)</f>
        <v>0.696999999999999</v>
      </c>
      <c r="M237" s="10" t="n">
        <v>16.867</v>
      </c>
      <c r="N237" s="10" t="n">
        <v>15.747</v>
      </c>
    </row>
    <row r="238" customFormat="false" ht="15" hidden="false" customHeight="false" outlineLevel="0" collapsed="false">
      <c r="A238" s="9" t="n">
        <v>237</v>
      </c>
      <c r="B238" s="9" t="s">
        <v>344</v>
      </c>
      <c r="C238" s="9" t="s">
        <v>29</v>
      </c>
      <c r="D238" s="9" t="s">
        <v>208</v>
      </c>
      <c r="E238" s="9" t="s">
        <v>49</v>
      </c>
      <c r="F238" s="9" t="s">
        <v>337</v>
      </c>
      <c r="G238" s="9" t="s">
        <v>210</v>
      </c>
      <c r="H238" s="10" t="n">
        <v>11.332</v>
      </c>
      <c r="I238" s="9" t="str">
        <f aca="false">IF(OR(G238="links",G238="gegen UZS"),INDEX(Bezugspunkte!$C:$C,MATCH(F238,Bezugspunkte!$A:$A,0)),INDEX(Bezugspunkte!$E:$E,MATCH(F238,Bezugspunkte!$A:$A,0)))</f>
        <v>KI05</v>
      </c>
      <c r="J238" s="10" t="n">
        <f aca="false">IF(OR(G238="links",G238="gegen UZS"),INDEX(Bezugspunkte!$D:$D,MATCH(F238,Bezugspunkte!$A:$A,0)),INDEX(Bezugspunkte!$F:$F,MATCH(F238,Bezugspunkte!$A:$A,0)))</f>
        <v>15.247</v>
      </c>
      <c r="K238" s="10" t="n">
        <f aca="false">J238-H238</f>
        <v>3.915</v>
      </c>
      <c r="L238" s="10" t="n">
        <f aca="false">IF(AND(F238=F237,G238=G237),H238-H237,H238)</f>
        <v>2.3</v>
      </c>
      <c r="M238" s="10" t="n">
        <v>17.311</v>
      </c>
      <c r="N238" s="10" t="n">
        <v>18.046</v>
      </c>
    </row>
    <row r="239" customFormat="false" ht="15" hidden="false" customHeight="false" outlineLevel="0" collapsed="false">
      <c r="A239" s="9" t="n">
        <v>238</v>
      </c>
      <c r="B239" s="9" t="s">
        <v>345</v>
      </c>
      <c r="C239" s="9" t="s">
        <v>31</v>
      </c>
      <c r="D239" s="9" t="s">
        <v>89</v>
      </c>
      <c r="E239" s="9" t="s">
        <v>49</v>
      </c>
      <c r="F239" s="9" t="s">
        <v>337</v>
      </c>
      <c r="G239" s="9" t="s">
        <v>210</v>
      </c>
      <c r="H239" s="10" t="n">
        <v>13.531</v>
      </c>
      <c r="I239" s="9" t="str">
        <f aca="false">IF(OR(G239="links",G239="gegen UZS"),INDEX(Bezugspunkte!$C:$C,MATCH(F239,Bezugspunkte!$A:$A,0)),INDEX(Bezugspunkte!$E:$E,MATCH(F239,Bezugspunkte!$A:$A,0)))</f>
        <v>KI05</v>
      </c>
      <c r="J239" s="10" t="n">
        <f aca="false">IF(OR(G239="links",G239="gegen UZS"),INDEX(Bezugspunkte!$D:$D,MATCH(F239,Bezugspunkte!$A:$A,0)),INDEX(Bezugspunkte!$F:$F,MATCH(F239,Bezugspunkte!$A:$A,0)))</f>
        <v>15.247</v>
      </c>
      <c r="K239" s="10" t="n">
        <f aca="false">J239-H239</f>
        <v>1.716</v>
      </c>
      <c r="L239" s="10" t="n">
        <f aca="false">IF(AND(F239=F238,G239=G238),H239-H238,H239)</f>
        <v>2.199</v>
      </c>
      <c r="M239" s="10" t="n">
        <v>16.867</v>
      </c>
      <c r="N239" s="10" t="n">
        <v>20.246</v>
      </c>
    </row>
    <row r="240" customFormat="false" ht="15" hidden="false" customHeight="false" outlineLevel="0" collapsed="false">
      <c r="A240" s="9" t="n">
        <v>239</v>
      </c>
      <c r="B240" s="9" t="s">
        <v>346</v>
      </c>
      <c r="C240" s="9" t="s">
        <v>29</v>
      </c>
      <c r="D240" s="9" t="s">
        <v>208</v>
      </c>
      <c r="E240" s="9" t="s">
        <v>49</v>
      </c>
      <c r="F240" s="9" t="s">
        <v>337</v>
      </c>
      <c r="G240" s="9" t="s">
        <v>210</v>
      </c>
      <c r="H240" s="10" t="n">
        <v>14.328</v>
      </c>
      <c r="I240" s="9" t="str">
        <f aca="false">IF(OR(G240="links",G240="gegen UZS"),INDEX(Bezugspunkte!$C:$C,MATCH(F240,Bezugspunkte!$A:$A,0)),INDEX(Bezugspunkte!$E:$E,MATCH(F240,Bezugspunkte!$A:$A,0)))</f>
        <v>KI05</v>
      </c>
      <c r="J240" s="10" t="n">
        <f aca="false">IF(OR(G240="links",G240="gegen UZS"),INDEX(Bezugspunkte!$D:$D,MATCH(F240,Bezugspunkte!$A:$A,0)),INDEX(Bezugspunkte!$F:$F,MATCH(F240,Bezugspunkte!$A:$A,0)))</f>
        <v>15.247</v>
      </c>
      <c r="K240" s="10" t="n">
        <f aca="false">J240-H240</f>
        <v>0.919000000000001</v>
      </c>
      <c r="L240" s="10" t="n">
        <f aca="false">IF(AND(F240=F239,G240=G239),H240-H239,H240)</f>
        <v>0.796999999999999</v>
      </c>
      <c r="M240" s="10" t="n">
        <v>17.311</v>
      </c>
      <c r="N240" s="10" t="n">
        <v>21.043</v>
      </c>
    </row>
    <row r="241" customFormat="false" ht="15" hidden="false" customHeight="false" outlineLevel="0" collapsed="false">
      <c r="A241" s="9" t="n">
        <v>240</v>
      </c>
      <c r="B241" s="9" t="s">
        <v>347</v>
      </c>
      <c r="C241" s="9" t="s">
        <v>29</v>
      </c>
      <c r="D241" s="9" t="s">
        <v>208</v>
      </c>
      <c r="E241" s="9" t="s">
        <v>49</v>
      </c>
      <c r="F241" s="9" t="s">
        <v>337</v>
      </c>
      <c r="G241" s="9" t="s">
        <v>212</v>
      </c>
      <c r="H241" s="10" t="n">
        <v>0.665</v>
      </c>
      <c r="I241" s="9" t="str">
        <f aca="false">IF(OR(G241="links",G241="gegen UZS"),INDEX(Bezugspunkte!$C:$C,MATCH(F241,Bezugspunkte!$A:$A,0)),INDEX(Bezugspunkte!$E:$E,MATCH(F241,Bezugspunkte!$A:$A,0)))</f>
        <v>Q4-R</v>
      </c>
      <c r="J241" s="10" t="n">
        <f aca="false">IF(OR(G241="links",G241="gegen UZS"),INDEX(Bezugspunkte!$D:$D,MATCH(F241,Bezugspunkte!$A:$A,0)),INDEX(Bezugspunkte!$F:$F,MATCH(F241,Bezugspunkte!$A:$A,0)))</f>
        <v>6.649</v>
      </c>
      <c r="K241" s="10" t="n">
        <f aca="false">J241-H241</f>
        <v>5.984</v>
      </c>
      <c r="L241" s="10" t="n">
        <f aca="false">IF(AND(F241=F240,G241=G240),H241-H240,H241)</f>
        <v>0.665</v>
      </c>
      <c r="M241" s="10" t="n">
        <v>17.311</v>
      </c>
      <c r="N241" s="10" t="n">
        <v>6.052</v>
      </c>
    </row>
    <row r="242" customFormat="false" ht="15" hidden="false" customHeight="false" outlineLevel="0" collapsed="false">
      <c r="A242" s="9" t="n">
        <v>241</v>
      </c>
      <c r="B242" s="9" t="s">
        <v>348</v>
      </c>
      <c r="C242" s="9" t="s">
        <v>29</v>
      </c>
      <c r="D242" s="9" t="s">
        <v>208</v>
      </c>
      <c r="E242" s="9" t="s">
        <v>49</v>
      </c>
      <c r="F242" s="9" t="s">
        <v>337</v>
      </c>
      <c r="G242" s="9" t="s">
        <v>212</v>
      </c>
      <c r="H242" s="10" t="n">
        <v>3.661</v>
      </c>
      <c r="I242" s="9" t="str">
        <f aca="false">IF(OR(G242="links",G242="gegen UZS"),INDEX(Bezugspunkte!$C:$C,MATCH(F242,Bezugspunkte!$A:$A,0)),INDEX(Bezugspunkte!$E:$E,MATCH(F242,Bezugspunkte!$A:$A,0)))</f>
        <v>Q4-R</v>
      </c>
      <c r="J242" s="10" t="n">
        <f aca="false">IF(OR(G242="links",G242="gegen UZS"),INDEX(Bezugspunkte!$D:$D,MATCH(F242,Bezugspunkte!$A:$A,0)),INDEX(Bezugspunkte!$F:$F,MATCH(F242,Bezugspunkte!$A:$A,0)))</f>
        <v>6.649</v>
      </c>
      <c r="K242" s="10" t="n">
        <f aca="false">J242-H242</f>
        <v>2.988</v>
      </c>
      <c r="L242" s="10" t="n">
        <f aca="false">IF(AND(F242=F241,G242=G241),H242-H241,H242)</f>
        <v>2.996</v>
      </c>
      <c r="M242" s="10" t="n">
        <v>17.311</v>
      </c>
      <c r="N242" s="10" t="n">
        <v>3.055</v>
      </c>
    </row>
    <row r="243" customFormat="false" ht="15" hidden="false" customHeight="false" outlineLevel="0" collapsed="false">
      <c r="A243" s="9" t="n">
        <v>242</v>
      </c>
      <c r="B243" s="9" t="s">
        <v>349</v>
      </c>
      <c r="C243" s="9" t="s">
        <v>31</v>
      </c>
      <c r="D243" s="9" t="s">
        <v>89</v>
      </c>
      <c r="E243" s="9" t="s">
        <v>49</v>
      </c>
      <c r="F243" s="9" t="s">
        <v>337</v>
      </c>
      <c r="G243" s="9" t="s">
        <v>212</v>
      </c>
      <c r="H243" s="10" t="n">
        <v>4.258</v>
      </c>
      <c r="I243" s="9" t="str">
        <f aca="false">IF(OR(G243="links",G243="gegen UZS"),INDEX(Bezugspunkte!$C:$C,MATCH(F243,Bezugspunkte!$A:$A,0)),INDEX(Bezugspunkte!$E:$E,MATCH(F243,Bezugspunkte!$A:$A,0)))</f>
        <v>Q4-R</v>
      </c>
      <c r="J243" s="10" t="n">
        <f aca="false">IF(OR(G243="links",G243="gegen UZS"),INDEX(Bezugspunkte!$D:$D,MATCH(F243,Bezugspunkte!$A:$A,0)),INDEX(Bezugspunkte!$F:$F,MATCH(F243,Bezugspunkte!$A:$A,0)))</f>
        <v>6.649</v>
      </c>
      <c r="K243" s="10" t="n">
        <f aca="false">J243-H243</f>
        <v>2.391</v>
      </c>
      <c r="L243" s="10" t="n">
        <f aca="false">IF(AND(F243=F242,G243=G242),H243-H242,H243)</f>
        <v>0.597</v>
      </c>
      <c r="M243" s="10" t="n">
        <v>16.867</v>
      </c>
      <c r="N243" s="10" t="n">
        <v>2.456</v>
      </c>
    </row>
    <row r="244" customFormat="false" ht="15" hidden="false" customHeight="false" outlineLevel="0" collapsed="false">
      <c r="A244" s="9" t="n">
        <v>243</v>
      </c>
      <c r="B244" s="9" t="s">
        <v>350</v>
      </c>
      <c r="C244" s="9" t="s">
        <v>31</v>
      </c>
      <c r="D244" s="9" t="s">
        <v>89</v>
      </c>
      <c r="E244" s="9" t="s">
        <v>49</v>
      </c>
      <c r="F244" s="9" t="s">
        <v>337</v>
      </c>
      <c r="G244" s="9" t="s">
        <v>212</v>
      </c>
      <c r="H244" s="10" t="n">
        <v>5.957</v>
      </c>
      <c r="I244" s="9" t="str">
        <f aca="false">IF(OR(G244="links",G244="gegen UZS"),INDEX(Bezugspunkte!$C:$C,MATCH(F244,Bezugspunkte!$A:$A,0)),INDEX(Bezugspunkte!$E:$E,MATCH(F244,Bezugspunkte!$A:$A,0)))</f>
        <v>Q4-R</v>
      </c>
      <c r="J244" s="10" t="n">
        <f aca="false">IF(OR(G244="links",G244="gegen UZS"),INDEX(Bezugspunkte!$D:$D,MATCH(F244,Bezugspunkte!$A:$A,0)),INDEX(Bezugspunkte!$F:$F,MATCH(F244,Bezugspunkte!$A:$A,0)))</f>
        <v>6.649</v>
      </c>
      <c r="K244" s="10" t="n">
        <f aca="false">J244-H244</f>
        <v>0.692</v>
      </c>
      <c r="L244" s="10" t="n">
        <f aca="false">IF(AND(F244=F243,G244=G243),H244-H243,H244)</f>
        <v>1.699</v>
      </c>
      <c r="M244" s="10" t="n">
        <v>16.867</v>
      </c>
      <c r="N244" s="10" t="n">
        <v>0.757</v>
      </c>
    </row>
    <row r="245" customFormat="false" ht="15" hidden="false" customHeight="false" outlineLevel="0" collapsed="false">
      <c r="A245" s="9" t="n">
        <v>244</v>
      </c>
      <c r="B245" s="9" t="s">
        <v>351</v>
      </c>
      <c r="C245" s="9" t="s">
        <v>31</v>
      </c>
      <c r="D245" s="9" t="s">
        <v>89</v>
      </c>
      <c r="E245" s="9" t="s">
        <v>49</v>
      </c>
      <c r="F245" s="9" t="s">
        <v>352</v>
      </c>
      <c r="G245" s="9" t="s">
        <v>210</v>
      </c>
      <c r="H245" s="10" t="n">
        <v>0.009</v>
      </c>
      <c r="I245" s="9" t="str">
        <f aca="false">IF(OR(G245="links",G245="gegen UZS"),INDEX(Bezugspunkte!$C:$C,MATCH(F245,Bezugspunkte!$A:$A,0)),INDEX(Bezugspunkte!$E:$E,MATCH(F245,Bezugspunkte!$A:$A,0)))</f>
        <v>Q4-R</v>
      </c>
      <c r="J245" s="10" t="n">
        <f aca="false">IF(OR(G245="links",G245="gegen UZS"),INDEX(Bezugspunkte!$D:$D,MATCH(F245,Bezugspunkte!$A:$A,0)),INDEX(Bezugspunkte!$F:$F,MATCH(F245,Bezugspunkte!$A:$A,0)))</f>
        <v>6.715</v>
      </c>
      <c r="K245" s="10" t="n">
        <f aca="false">J245-H245</f>
        <v>6.706</v>
      </c>
      <c r="L245" s="10" t="n">
        <f aca="false">IF(AND(F245=F244,G245=G244),H245-H244,H245)</f>
        <v>0.009</v>
      </c>
      <c r="M245" s="10" t="n">
        <v>16.867</v>
      </c>
      <c r="N245" s="10" t="n">
        <v>-6.64</v>
      </c>
    </row>
    <row r="246" customFormat="false" ht="15" hidden="false" customHeight="false" outlineLevel="0" collapsed="false">
      <c r="A246" s="9" t="n">
        <v>245</v>
      </c>
      <c r="B246" s="9" t="s">
        <v>353</v>
      </c>
      <c r="C246" s="9" t="s">
        <v>29</v>
      </c>
      <c r="D246" s="9" t="s">
        <v>208</v>
      </c>
      <c r="E246" s="9" t="s">
        <v>49</v>
      </c>
      <c r="F246" s="9" t="s">
        <v>352</v>
      </c>
      <c r="G246" s="9" t="s">
        <v>210</v>
      </c>
      <c r="H246" s="10" t="n">
        <v>0.708</v>
      </c>
      <c r="I246" s="9" t="str">
        <f aca="false">IF(OR(G246="links",G246="gegen UZS"),INDEX(Bezugspunkte!$C:$C,MATCH(F246,Bezugspunkte!$A:$A,0)),INDEX(Bezugspunkte!$E:$E,MATCH(F246,Bezugspunkte!$A:$A,0)))</f>
        <v>Q4-R</v>
      </c>
      <c r="J246" s="10" t="n">
        <f aca="false">IF(OR(G246="links",G246="gegen UZS"),INDEX(Bezugspunkte!$D:$D,MATCH(F246,Bezugspunkte!$A:$A,0)),INDEX(Bezugspunkte!$F:$F,MATCH(F246,Bezugspunkte!$A:$A,0)))</f>
        <v>6.715</v>
      </c>
      <c r="K246" s="10" t="n">
        <f aca="false">J246-H246</f>
        <v>6.007</v>
      </c>
      <c r="L246" s="10" t="n">
        <f aca="false">IF(AND(F246=F245,G246=G245),H246-H245,H246)</f>
        <v>0.699</v>
      </c>
      <c r="M246" s="10" t="n">
        <v>17.311</v>
      </c>
      <c r="N246" s="10" t="n">
        <v>-5.942</v>
      </c>
    </row>
    <row r="247" customFormat="false" ht="15" hidden="false" customHeight="false" outlineLevel="0" collapsed="false">
      <c r="A247" s="9" t="n">
        <v>246</v>
      </c>
      <c r="B247" s="9" t="s">
        <v>354</v>
      </c>
      <c r="C247" s="9" t="s">
        <v>29</v>
      </c>
      <c r="D247" s="9" t="s">
        <v>208</v>
      </c>
      <c r="E247" s="9" t="s">
        <v>49</v>
      </c>
      <c r="F247" s="9" t="s">
        <v>352</v>
      </c>
      <c r="G247" s="9" t="s">
        <v>210</v>
      </c>
      <c r="H247" s="10" t="n">
        <v>3.712</v>
      </c>
      <c r="I247" s="9" t="str">
        <f aca="false">IF(OR(G247="links",G247="gegen UZS"),INDEX(Bezugspunkte!$C:$C,MATCH(F247,Bezugspunkte!$A:$A,0)),INDEX(Bezugspunkte!$E:$E,MATCH(F247,Bezugspunkte!$A:$A,0)))</f>
        <v>Q4-R</v>
      </c>
      <c r="J247" s="10" t="n">
        <f aca="false">IF(OR(G247="links",G247="gegen UZS"),INDEX(Bezugspunkte!$D:$D,MATCH(F247,Bezugspunkte!$A:$A,0)),INDEX(Bezugspunkte!$F:$F,MATCH(F247,Bezugspunkte!$A:$A,0)))</f>
        <v>6.715</v>
      </c>
      <c r="K247" s="10" t="n">
        <f aca="false">J247-H247</f>
        <v>3.003</v>
      </c>
      <c r="L247" s="10" t="n">
        <f aca="false">IF(AND(F247=F246,G247=G246),H247-H246,H247)</f>
        <v>3.004</v>
      </c>
      <c r="M247" s="10" t="n">
        <v>17.311</v>
      </c>
      <c r="N247" s="10" t="n">
        <v>-2.938</v>
      </c>
    </row>
    <row r="248" customFormat="false" ht="15" hidden="false" customHeight="false" outlineLevel="0" collapsed="false">
      <c r="A248" s="9" t="n">
        <v>247</v>
      </c>
      <c r="B248" s="9" t="s">
        <v>355</v>
      </c>
      <c r="C248" s="9" t="s">
        <v>31</v>
      </c>
      <c r="D248" s="9" t="s">
        <v>89</v>
      </c>
      <c r="E248" s="9" t="s">
        <v>49</v>
      </c>
      <c r="F248" s="9" t="s">
        <v>352</v>
      </c>
      <c r="G248" s="9" t="s">
        <v>210</v>
      </c>
      <c r="H248" s="10" t="n">
        <v>4.309</v>
      </c>
      <c r="I248" s="9" t="str">
        <f aca="false">IF(OR(G248="links",G248="gegen UZS"),INDEX(Bezugspunkte!$C:$C,MATCH(F248,Bezugspunkte!$A:$A,0)),INDEX(Bezugspunkte!$E:$E,MATCH(F248,Bezugspunkte!$A:$A,0)))</f>
        <v>Q4-R</v>
      </c>
      <c r="J248" s="10" t="n">
        <f aca="false">IF(OR(G248="links",G248="gegen UZS"),INDEX(Bezugspunkte!$D:$D,MATCH(F248,Bezugspunkte!$A:$A,0)),INDEX(Bezugspunkte!$F:$F,MATCH(F248,Bezugspunkte!$A:$A,0)))</f>
        <v>6.715</v>
      </c>
      <c r="K248" s="10" t="n">
        <f aca="false">J248-H248</f>
        <v>2.406</v>
      </c>
      <c r="L248" s="10" t="n">
        <f aca="false">IF(AND(F248=F247,G248=G247),H248-H247,H248)</f>
        <v>0.597</v>
      </c>
      <c r="M248" s="10" t="n">
        <v>16.867</v>
      </c>
      <c r="N248" s="10" t="n">
        <v>-2.339</v>
      </c>
    </row>
    <row r="249" customFormat="false" ht="15" hidden="false" customHeight="false" outlineLevel="0" collapsed="false">
      <c r="A249" s="9" t="n">
        <v>248</v>
      </c>
      <c r="B249" s="9" t="s">
        <v>356</v>
      </c>
      <c r="C249" s="9" t="s">
        <v>31</v>
      </c>
      <c r="D249" s="9" t="s">
        <v>89</v>
      </c>
      <c r="E249" s="9" t="s">
        <v>49</v>
      </c>
      <c r="F249" s="9" t="s">
        <v>352</v>
      </c>
      <c r="G249" s="9" t="s">
        <v>210</v>
      </c>
      <c r="H249" s="10" t="n">
        <v>6.001</v>
      </c>
      <c r="I249" s="9" t="str">
        <f aca="false">IF(OR(G249="links",G249="gegen UZS"),INDEX(Bezugspunkte!$C:$C,MATCH(F249,Bezugspunkte!$A:$A,0)),INDEX(Bezugspunkte!$E:$E,MATCH(F249,Bezugspunkte!$A:$A,0)))</f>
        <v>Q4-R</v>
      </c>
      <c r="J249" s="10" t="n">
        <f aca="false">IF(OR(G249="links",G249="gegen UZS"),INDEX(Bezugspunkte!$D:$D,MATCH(F249,Bezugspunkte!$A:$A,0)),INDEX(Bezugspunkte!$F:$F,MATCH(F249,Bezugspunkte!$A:$A,0)))</f>
        <v>6.715</v>
      </c>
      <c r="K249" s="10" t="n">
        <f aca="false">J249-H249</f>
        <v>0.714</v>
      </c>
      <c r="L249" s="10" t="n">
        <f aca="false">IF(AND(F249=F248,G249=G248),H249-H248,H249)</f>
        <v>1.692</v>
      </c>
      <c r="M249" s="10" t="n">
        <v>16.867</v>
      </c>
      <c r="N249" s="10" t="n">
        <v>-0.647</v>
      </c>
    </row>
    <row r="250" customFormat="false" ht="15" hidden="false" customHeight="false" outlineLevel="0" collapsed="false">
      <c r="A250" s="9" t="n">
        <v>249</v>
      </c>
      <c r="B250" s="9" t="s">
        <v>357</v>
      </c>
      <c r="C250" s="9" t="s">
        <v>29</v>
      </c>
      <c r="D250" s="9" t="s">
        <v>208</v>
      </c>
      <c r="E250" s="9" t="s">
        <v>49</v>
      </c>
      <c r="F250" s="9" t="s">
        <v>352</v>
      </c>
      <c r="G250" s="9" t="s">
        <v>210</v>
      </c>
      <c r="H250" s="10" t="n">
        <v>6.709</v>
      </c>
      <c r="I250" s="9" t="str">
        <f aca="false">IF(OR(G250="links",G250="gegen UZS"),INDEX(Bezugspunkte!$C:$C,MATCH(F250,Bezugspunkte!$A:$A,0)),INDEX(Bezugspunkte!$E:$E,MATCH(F250,Bezugspunkte!$A:$A,0)))</f>
        <v>Q4-R</v>
      </c>
      <c r="J250" s="10" t="n">
        <f aca="false">IF(OR(G250="links",G250="gegen UZS"),INDEX(Bezugspunkte!$D:$D,MATCH(F250,Bezugspunkte!$A:$A,0)),INDEX(Bezugspunkte!$F:$F,MATCH(F250,Bezugspunkte!$A:$A,0)))</f>
        <v>6.715</v>
      </c>
      <c r="K250" s="10" t="n">
        <f aca="false">J250-H250</f>
        <v>0.00600000000000023</v>
      </c>
      <c r="L250" s="10" t="n">
        <f aca="false">IF(AND(F250=F249,G250=G249),H250-H249,H250)</f>
        <v>0.707999999999999</v>
      </c>
      <c r="M250" s="10" t="n">
        <v>17.311</v>
      </c>
      <c r="N250" s="10" t="n">
        <v>0.059</v>
      </c>
    </row>
    <row r="251" customFormat="false" ht="15" hidden="false" customHeight="false" outlineLevel="0" collapsed="false">
      <c r="A251" s="9" t="n">
        <v>250</v>
      </c>
      <c r="B251" s="9" t="s">
        <v>358</v>
      </c>
      <c r="C251" s="9" t="s">
        <v>29</v>
      </c>
      <c r="D251" s="9" t="s">
        <v>208</v>
      </c>
      <c r="E251" s="9" t="s">
        <v>49</v>
      </c>
      <c r="F251" s="9" t="s">
        <v>352</v>
      </c>
      <c r="G251" s="9" t="s">
        <v>212</v>
      </c>
      <c r="H251" s="10" t="n">
        <v>2.291</v>
      </c>
      <c r="I251" s="9" t="str">
        <f aca="false">IF(OR(G251="links",G251="gegen UZS"),INDEX(Bezugspunkte!$C:$C,MATCH(F251,Bezugspunkte!$A:$A,0)),INDEX(Bezugspunkte!$E:$E,MATCH(F251,Bezugspunkte!$A:$A,0)))</f>
        <v>KI06</v>
      </c>
      <c r="J251" s="10" t="n">
        <f aca="false">IF(OR(G251="links",G251="gegen UZS"),INDEX(Bezugspunkte!$D:$D,MATCH(F251,Bezugspunkte!$A:$A,0)),INDEX(Bezugspunkte!$F:$F,MATCH(F251,Bezugspunkte!$A:$A,0)))</f>
        <v>15.69</v>
      </c>
      <c r="K251" s="10" t="n">
        <f aca="false">J251-H251</f>
        <v>13.399</v>
      </c>
      <c r="L251" s="10" t="n">
        <f aca="false">IF(AND(F251=F250,G251=G250),H251-H250,H251)</f>
        <v>2.291</v>
      </c>
      <c r="M251" s="10" t="n">
        <v>17.311</v>
      </c>
      <c r="N251" s="10" t="n">
        <v>-8.939</v>
      </c>
    </row>
    <row r="252" customFormat="false" ht="15" hidden="false" customHeight="false" outlineLevel="0" collapsed="false">
      <c r="A252" s="9" t="n">
        <v>251</v>
      </c>
      <c r="B252" s="9" t="s">
        <v>359</v>
      </c>
      <c r="C252" s="9" t="s">
        <v>31</v>
      </c>
      <c r="D252" s="9" t="s">
        <v>89</v>
      </c>
      <c r="E252" s="9" t="s">
        <v>49</v>
      </c>
      <c r="F252" s="9" t="s">
        <v>352</v>
      </c>
      <c r="G252" s="9" t="s">
        <v>212</v>
      </c>
      <c r="H252" s="10" t="n">
        <v>4.588</v>
      </c>
      <c r="I252" s="9" t="str">
        <f aca="false">IF(OR(G252="links",G252="gegen UZS"),INDEX(Bezugspunkte!$C:$C,MATCH(F252,Bezugspunkte!$A:$A,0)),INDEX(Bezugspunkte!$E:$E,MATCH(F252,Bezugspunkte!$A:$A,0)))</f>
        <v>KI06</v>
      </c>
      <c r="J252" s="10" t="n">
        <f aca="false">IF(OR(G252="links",G252="gegen UZS"),INDEX(Bezugspunkte!$D:$D,MATCH(F252,Bezugspunkte!$A:$A,0)),INDEX(Bezugspunkte!$F:$F,MATCH(F252,Bezugspunkte!$A:$A,0)))</f>
        <v>15.69</v>
      </c>
      <c r="K252" s="10" t="n">
        <f aca="false">J252-H252</f>
        <v>11.102</v>
      </c>
      <c r="L252" s="10" t="n">
        <f aca="false">IF(AND(F252=F251,G252=G251),H252-H251,H252)</f>
        <v>2.297</v>
      </c>
      <c r="M252" s="10" t="n">
        <v>16.867</v>
      </c>
      <c r="N252" s="10" t="n">
        <v>-11.237</v>
      </c>
    </row>
    <row r="253" customFormat="false" ht="15" hidden="false" customHeight="false" outlineLevel="0" collapsed="false">
      <c r="A253" s="9" t="n">
        <v>252</v>
      </c>
      <c r="B253" s="9" t="s">
        <v>360</v>
      </c>
      <c r="C253" s="9" t="s">
        <v>29</v>
      </c>
      <c r="D253" s="9" t="s">
        <v>208</v>
      </c>
      <c r="E253" s="9" t="s">
        <v>49</v>
      </c>
      <c r="F253" s="9" t="s">
        <v>352</v>
      </c>
      <c r="G253" s="9" t="s">
        <v>212</v>
      </c>
      <c r="H253" s="10" t="n">
        <v>5.287</v>
      </c>
      <c r="I253" s="9" t="str">
        <f aca="false">IF(OR(G253="links",G253="gegen UZS"),INDEX(Bezugspunkte!$C:$C,MATCH(F253,Bezugspunkte!$A:$A,0)),INDEX(Bezugspunkte!$E:$E,MATCH(F253,Bezugspunkte!$A:$A,0)))</f>
        <v>KI06</v>
      </c>
      <c r="J253" s="10" t="n">
        <f aca="false">IF(OR(G253="links",G253="gegen UZS"),INDEX(Bezugspunkte!$D:$D,MATCH(F253,Bezugspunkte!$A:$A,0)),INDEX(Bezugspunkte!$F:$F,MATCH(F253,Bezugspunkte!$A:$A,0)))</f>
        <v>15.69</v>
      </c>
      <c r="K253" s="10" t="n">
        <f aca="false">J253-H253</f>
        <v>10.403</v>
      </c>
      <c r="L253" s="10" t="n">
        <f aca="false">IF(AND(F253=F252,G253=G252),H253-H252,H253)</f>
        <v>0.699</v>
      </c>
      <c r="M253" s="10" t="n">
        <v>17.311</v>
      </c>
      <c r="N253" s="10" t="n">
        <v>-11.935</v>
      </c>
    </row>
    <row r="254" customFormat="false" ht="15" hidden="false" customHeight="false" outlineLevel="0" collapsed="false">
      <c r="A254" s="9" t="n">
        <v>253</v>
      </c>
      <c r="B254" s="9" t="s">
        <v>361</v>
      </c>
      <c r="C254" s="9" t="s">
        <v>31</v>
      </c>
      <c r="D254" s="9" t="s">
        <v>89</v>
      </c>
      <c r="E254" s="9" t="s">
        <v>49</v>
      </c>
      <c r="F254" s="9" t="s">
        <v>352</v>
      </c>
      <c r="G254" s="9" t="s">
        <v>212</v>
      </c>
      <c r="H254" s="10" t="n">
        <v>5.984</v>
      </c>
      <c r="I254" s="9" t="str">
        <f aca="false">IF(OR(G254="links",G254="gegen UZS"),INDEX(Bezugspunkte!$C:$C,MATCH(F254,Bezugspunkte!$A:$A,0)),INDEX(Bezugspunkte!$E:$E,MATCH(F254,Bezugspunkte!$A:$A,0)))</f>
        <v>KI06</v>
      </c>
      <c r="J254" s="10" t="n">
        <f aca="false">IF(OR(G254="links",G254="gegen UZS"),INDEX(Bezugspunkte!$D:$D,MATCH(F254,Bezugspunkte!$A:$A,0)),INDEX(Bezugspunkte!$F:$F,MATCH(F254,Bezugspunkte!$A:$A,0)))</f>
        <v>15.69</v>
      </c>
      <c r="K254" s="10" t="n">
        <f aca="false">J254-H254</f>
        <v>9.706</v>
      </c>
      <c r="L254" s="10" t="n">
        <f aca="false">IF(AND(F254=F253,G254=G253),H254-H253,H254)</f>
        <v>0.697</v>
      </c>
      <c r="M254" s="10" t="n">
        <v>16.867</v>
      </c>
      <c r="N254" s="10" t="n">
        <v>-12.633</v>
      </c>
    </row>
    <row r="255" customFormat="false" ht="15" hidden="false" customHeight="false" outlineLevel="0" collapsed="false">
      <c r="A255" s="9" t="n">
        <v>254</v>
      </c>
      <c r="B255" s="9" t="s">
        <v>362</v>
      </c>
      <c r="C255" s="9" t="s">
        <v>29</v>
      </c>
      <c r="D255" s="9" t="s">
        <v>208</v>
      </c>
      <c r="E255" s="9" t="s">
        <v>49</v>
      </c>
      <c r="F255" s="9" t="s">
        <v>352</v>
      </c>
      <c r="G255" s="9" t="s">
        <v>212</v>
      </c>
      <c r="H255" s="10" t="n">
        <v>8.284</v>
      </c>
      <c r="I255" s="9" t="str">
        <f aca="false">IF(OR(G255="links",G255="gegen UZS"),INDEX(Bezugspunkte!$C:$C,MATCH(F255,Bezugspunkte!$A:$A,0)),INDEX(Bezugspunkte!$E:$E,MATCH(F255,Bezugspunkte!$A:$A,0)))</f>
        <v>KI06</v>
      </c>
      <c r="J255" s="10" t="n">
        <f aca="false">IF(OR(G255="links",G255="gegen UZS"),INDEX(Bezugspunkte!$D:$D,MATCH(F255,Bezugspunkte!$A:$A,0)),INDEX(Bezugspunkte!$F:$F,MATCH(F255,Bezugspunkte!$A:$A,0)))</f>
        <v>15.69</v>
      </c>
      <c r="K255" s="10" t="n">
        <f aca="false">J255-H255</f>
        <v>7.406</v>
      </c>
      <c r="L255" s="10" t="n">
        <f aca="false">IF(AND(F255=F254,G255=G254),H255-H254,H255)</f>
        <v>2.3</v>
      </c>
      <c r="M255" s="10" t="n">
        <v>17.311</v>
      </c>
      <c r="N255" s="10" t="n">
        <v>-14.932</v>
      </c>
    </row>
    <row r="256" customFormat="false" ht="15" hidden="false" customHeight="false" outlineLevel="0" collapsed="false">
      <c r="A256" s="9" t="n">
        <v>255</v>
      </c>
      <c r="B256" s="9" t="s">
        <v>363</v>
      </c>
      <c r="C256" s="9" t="s">
        <v>31</v>
      </c>
      <c r="D256" s="9" t="s">
        <v>89</v>
      </c>
      <c r="E256" s="9" t="s">
        <v>49</v>
      </c>
      <c r="F256" s="9" t="s">
        <v>352</v>
      </c>
      <c r="G256" s="9" t="s">
        <v>212</v>
      </c>
      <c r="H256" s="10" t="n">
        <v>8.981</v>
      </c>
      <c r="I256" s="9" t="str">
        <f aca="false">IF(OR(G256="links",G256="gegen UZS"),INDEX(Bezugspunkte!$C:$C,MATCH(F256,Bezugspunkte!$A:$A,0)),INDEX(Bezugspunkte!$E:$E,MATCH(F256,Bezugspunkte!$A:$A,0)))</f>
        <v>KI06</v>
      </c>
      <c r="J256" s="10" t="n">
        <f aca="false">IF(OR(G256="links",G256="gegen UZS"),INDEX(Bezugspunkte!$D:$D,MATCH(F256,Bezugspunkte!$A:$A,0)),INDEX(Bezugspunkte!$F:$F,MATCH(F256,Bezugspunkte!$A:$A,0)))</f>
        <v>15.69</v>
      </c>
      <c r="K256" s="10" t="n">
        <f aca="false">J256-H256</f>
        <v>6.709</v>
      </c>
      <c r="L256" s="10" t="n">
        <f aca="false">IF(AND(F256=F255,G256=G255),H256-H255,H256)</f>
        <v>0.696999999999999</v>
      </c>
      <c r="M256" s="10" t="n">
        <v>16.867</v>
      </c>
      <c r="N256" s="10" t="n">
        <v>-15.63</v>
      </c>
    </row>
    <row r="257" customFormat="false" ht="15" hidden="false" customHeight="false" outlineLevel="0" collapsed="false">
      <c r="A257" s="9" t="n">
        <v>256</v>
      </c>
      <c r="B257" s="9" t="s">
        <v>364</v>
      </c>
      <c r="C257" s="9" t="s">
        <v>29</v>
      </c>
      <c r="D257" s="9" t="s">
        <v>208</v>
      </c>
      <c r="E257" s="9" t="s">
        <v>49</v>
      </c>
      <c r="F257" s="9" t="s">
        <v>352</v>
      </c>
      <c r="G257" s="9" t="s">
        <v>212</v>
      </c>
      <c r="H257" s="10" t="n">
        <v>11.281</v>
      </c>
      <c r="I257" s="9" t="str">
        <f aca="false">IF(OR(G257="links",G257="gegen UZS"),INDEX(Bezugspunkte!$C:$C,MATCH(F257,Bezugspunkte!$A:$A,0)),INDEX(Bezugspunkte!$E:$E,MATCH(F257,Bezugspunkte!$A:$A,0)))</f>
        <v>KI06</v>
      </c>
      <c r="J257" s="10" t="n">
        <f aca="false">IF(OR(G257="links",G257="gegen UZS"),INDEX(Bezugspunkte!$D:$D,MATCH(F257,Bezugspunkte!$A:$A,0)),INDEX(Bezugspunkte!$F:$F,MATCH(F257,Bezugspunkte!$A:$A,0)))</f>
        <v>15.69</v>
      </c>
      <c r="K257" s="10" t="n">
        <f aca="false">J257-H257</f>
        <v>4.409</v>
      </c>
      <c r="L257" s="10" t="n">
        <f aca="false">IF(AND(F257=F256,G257=G256),H257-H256,H257)</f>
        <v>2.3</v>
      </c>
      <c r="M257" s="10" t="n">
        <v>17.311</v>
      </c>
      <c r="N257" s="10" t="n">
        <v>-17.929</v>
      </c>
    </row>
    <row r="258" customFormat="false" ht="15" hidden="false" customHeight="false" outlineLevel="0" collapsed="false">
      <c r="A258" s="9" t="n">
        <v>257</v>
      </c>
      <c r="B258" s="9" t="s">
        <v>365</v>
      </c>
      <c r="C258" s="9" t="s">
        <v>31</v>
      </c>
      <c r="D258" s="9" t="s">
        <v>89</v>
      </c>
      <c r="E258" s="9" t="s">
        <v>49</v>
      </c>
      <c r="F258" s="9" t="s">
        <v>352</v>
      </c>
      <c r="G258" s="9" t="s">
        <v>212</v>
      </c>
      <c r="H258" s="10" t="n">
        <v>13.48</v>
      </c>
      <c r="I258" s="9" t="str">
        <f aca="false">IF(OR(G258="links",G258="gegen UZS"),INDEX(Bezugspunkte!$C:$C,MATCH(F258,Bezugspunkte!$A:$A,0)),INDEX(Bezugspunkte!$E:$E,MATCH(F258,Bezugspunkte!$A:$A,0)))</f>
        <v>KI06</v>
      </c>
      <c r="J258" s="10" t="n">
        <f aca="false">IF(OR(G258="links",G258="gegen UZS"),INDEX(Bezugspunkte!$D:$D,MATCH(F258,Bezugspunkte!$A:$A,0)),INDEX(Bezugspunkte!$F:$F,MATCH(F258,Bezugspunkte!$A:$A,0)))</f>
        <v>15.69</v>
      </c>
      <c r="K258" s="10" t="n">
        <f aca="false">J258-H258</f>
        <v>2.21</v>
      </c>
      <c r="L258" s="10" t="n">
        <f aca="false">IF(AND(F258=F257,G258=G257),H258-H257,H258)</f>
        <v>2.199</v>
      </c>
      <c r="M258" s="10" t="n">
        <v>16.867</v>
      </c>
      <c r="N258" s="10" t="n">
        <v>-20.129</v>
      </c>
    </row>
    <row r="259" customFormat="false" ht="15" hidden="false" customHeight="false" outlineLevel="0" collapsed="false">
      <c r="A259" s="9" t="n">
        <v>258</v>
      </c>
      <c r="B259" s="9" t="s">
        <v>366</v>
      </c>
      <c r="C259" s="9" t="s">
        <v>29</v>
      </c>
      <c r="D259" s="9" t="s">
        <v>208</v>
      </c>
      <c r="E259" s="9" t="s">
        <v>49</v>
      </c>
      <c r="F259" s="9" t="s">
        <v>352</v>
      </c>
      <c r="G259" s="9" t="s">
        <v>212</v>
      </c>
      <c r="H259" s="10" t="n">
        <v>14.285</v>
      </c>
      <c r="I259" s="9" t="str">
        <f aca="false">IF(OR(G259="links",G259="gegen UZS"),INDEX(Bezugspunkte!$C:$C,MATCH(F259,Bezugspunkte!$A:$A,0)),INDEX(Bezugspunkte!$E:$E,MATCH(F259,Bezugspunkte!$A:$A,0)))</f>
        <v>KI06</v>
      </c>
      <c r="J259" s="10" t="n">
        <f aca="false">IF(OR(G259="links",G259="gegen UZS"),INDEX(Bezugspunkte!$D:$D,MATCH(F259,Bezugspunkte!$A:$A,0)),INDEX(Bezugspunkte!$F:$F,MATCH(F259,Bezugspunkte!$A:$A,0)))</f>
        <v>15.69</v>
      </c>
      <c r="K259" s="10" t="n">
        <f aca="false">J259-H259</f>
        <v>1.405</v>
      </c>
      <c r="L259" s="10" t="n">
        <f aca="false">IF(AND(F259=F258,G259=G258),H259-H258,H259)</f>
        <v>0.805</v>
      </c>
      <c r="M259" s="10" t="n">
        <v>17.311</v>
      </c>
      <c r="N259" s="10" t="n">
        <v>-20.933</v>
      </c>
    </row>
    <row r="260" customFormat="false" ht="15" hidden="false" customHeight="false" outlineLevel="0" collapsed="false">
      <c r="A260" s="9" t="n">
        <v>259</v>
      </c>
      <c r="B260" s="9" t="s">
        <v>367</v>
      </c>
      <c r="C260" s="9" t="s">
        <v>29</v>
      </c>
      <c r="D260" s="9" t="s">
        <v>208</v>
      </c>
      <c r="E260" s="9" t="s">
        <v>49</v>
      </c>
      <c r="F260" s="9" t="s">
        <v>368</v>
      </c>
      <c r="G260" s="9" t="s">
        <v>210</v>
      </c>
      <c r="H260" s="10" t="n">
        <v>2.608</v>
      </c>
      <c r="I260" s="9" t="str">
        <f aca="false">IF(OR(G260="links",G260="gegen UZS"),INDEX(Bezugspunkte!$C:$C,MATCH(F260,Bezugspunkte!$A:$A,0)),INDEX(Bezugspunkte!$E:$E,MATCH(F260,Bezugspunkte!$A:$A,0)))</f>
        <v>KI06</v>
      </c>
      <c r="J260" s="10" t="n">
        <f aca="false">IF(OR(G260="links",G260="gegen UZS"),INDEX(Bezugspunkte!$D:$D,MATCH(F260,Bezugspunkte!$A:$A,0)),INDEX(Bezugspunkte!$F:$F,MATCH(F260,Bezugspunkte!$A:$A,0)))</f>
        <v>6.727</v>
      </c>
      <c r="K260" s="10" t="n">
        <f aca="false">J260-H260</f>
        <v>4.119</v>
      </c>
      <c r="L260" s="10" t="n">
        <f aca="false">IF(AND(F260=F259,G260=G259),H260-H259,H260)</f>
        <v>2.608</v>
      </c>
      <c r="M260" s="10" t="n">
        <v>16.916</v>
      </c>
      <c r="N260" s="10" t="n">
        <v>-26.475</v>
      </c>
    </row>
    <row r="261" customFormat="false" ht="15" hidden="false" customHeight="false" outlineLevel="0" collapsed="false">
      <c r="A261" s="9" t="n">
        <v>260</v>
      </c>
      <c r="B261" s="9" t="s">
        <v>369</v>
      </c>
      <c r="C261" s="9" t="s">
        <v>29</v>
      </c>
      <c r="D261" s="9" t="s">
        <v>208</v>
      </c>
      <c r="E261" s="9" t="s">
        <v>49</v>
      </c>
      <c r="F261" s="9" t="s">
        <v>368</v>
      </c>
      <c r="G261" s="9" t="s">
        <v>210</v>
      </c>
      <c r="H261" s="10" t="n">
        <v>5.352</v>
      </c>
      <c r="I261" s="9" t="str">
        <f aca="false">IF(OR(G261="links",G261="gegen UZS"),INDEX(Bezugspunkte!$C:$C,MATCH(F261,Bezugspunkte!$A:$A,0)),INDEX(Bezugspunkte!$E:$E,MATCH(F261,Bezugspunkte!$A:$A,0)))</f>
        <v>KI06</v>
      </c>
      <c r="J261" s="10" t="n">
        <f aca="false">IF(OR(G261="links",G261="gegen UZS"),INDEX(Bezugspunkte!$D:$D,MATCH(F261,Bezugspunkte!$A:$A,0)),INDEX(Bezugspunkte!$F:$F,MATCH(F261,Bezugspunkte!$A:$A,0)))</f>
        <v>6.727</v>
      </c>
      <c r="K261" s="10" t="n">
        <f aca="false">J261-H261</f>
        <v>1.375</v>
      </c>
      <c r="L261" s="10" t="n">
        <f aca="false">IF(AND(F261=F260,G261=G260),H261-H260,H261)</f>
        <v>2.744</v>
      </c>
      <c r="M261" s="10" t="n">
        <v>17.064</v>
      </c>
      <c r="N261" s="10" t="n">
        <v>-23.725</v>
      </c>
    </row>
    <row r="262" customFormat="false" ht="15" hidden="false" customHeight="false" outlineLevel="0" collapsed="false">
      <c r="A262" s="9" t="n">
        <v>261</v>
      </c>
      <c r="B262" s="9" t="s">
        <v>370</v>
      </c>
      <c r="C262" s="9" t="s">
        <v>29</v>
      </c>
      <c r="D262" s="9" t="s">
        <v>208</v>
      </c>
      <c r="E262" s="9" t="s">
        <v>49</v>
      </c>
      <c r="F262" s="9" t="s">
        <v>368</v>
      </c>
      <c r="G262" s="9" t="s">
        <v>212</v>
      </c>
      <c r="H262" s="10" t="n">
        <v>0.112</v>
      </c>
      <c r="I262" s="9" t="str">
        <f aca="false">IF(OR(G262="links",G262="gegen UZS"),INDEX(Bezugspunkte!$C:$C,MATCH(F262,Bezugspunkte!$A:$A,0)),INDEX(Bezugspunkte!$E:$E,MATCH(F262,Bezugspunkte!$A:$A,0)))</f>
        <v>Q7-R</v>
      </c>
      <c r="J262" s="10" t="n">
        <f aca="false">IF(OR(G262="links",G262="gegen UZS"),INDEX(Bezugspunkte!$D:$D,MATCH(F262,Bezugspunkte!$A:$A,0)),INDEX(Bezugspunkte!$F:$F,MATCH(F262,Bezugspunkte!$A:$A,0)))</f>
        <v>4.719</v>
      </c>
      <c r="K262" s="10" t="n">
        <f aca="false">J262-H262</f>
        <v>4.607</v>
      </c>
      <c r="L262" s="10" t="n">
        <f aca="false">IF(AND(F262=F261,G262=G261),H262-H261,H262)</f>
        <v>0.112</v>
      </c>
      <c r="M262" s="10" t="n">
        <v>16.465</v>
      </c>
      <c r="N262" s="10" t="n">
        <v>-29.225</v>
      </c>
    </row>
    <row r="263" customFormat="false" ht="15" hidden="false" customHeight="false" outlineLevel="0" collapsed="false">
      <c r="A263" s="9" t="n">
        <v>262</v>
      </c>
      <c r="B263" s="9" t="s">
        <v>371</v>
      </c>
      <c r="C263" s="9" t="s">
        <v>29</v>
      </c>
      <c r="D263" s="9" t="s">
        <v>208</v>
      </c>
      <c r="E263" s="9" t="s">
        <v>49</v>
      </c>
      <c r="F263" s="9" t="s">
        <v>368</v>
      </c>
      <c r="G263" s="9" t="s">
        <v>212</v>
      </c>
      <c r="H263" s="10" t="n">
        <v>2.859</v>
      </c>
      <c r="I263" s="9" t="str">
        <f aca="false">IF(OR(G263="links",G263="gegen UZS"),INDEX(Bezugspunkte!$C:$C,MATCH(F263,Bezugspunkte!$A:$A,0)),INDEX(Bezugspunkte!$E:$E,MATCH(F263,Bezugspunkte!$A:$A,0)))</f>
        <v>Q7-R</v>
      </c>
      <c r="J263" s="10" t="n">
        <f aca="false">IF(OR(G263="links",G263="gegen UZS"),INDEX(Bezugspunkte!$D:$D,MATCH(F263,Bezugspunkte!$A:$A,0)),INDEX(Bezugspunkte!$F:$F,MATCH(F263,Bezugspunkte!$A:$A,0)))</f>
        <v>4.719</v>
      </c>
      <c r="K263" s="10" t="n">
        <f aca="false">J263-H263</f>
        <v>1.86</v>
      </c>
      <c r="L263" s="10" t="n">
        <f aca="false">IF(AND(F263=F262,G263=G262),H263-H262,H263)</f>
        <v>2.747</v>
      </c>
      <c r="M263" s="10" t="n">
        <v>15.668</v>
      </c>
      <c r="N263" s="10" t="n">
        <v>-31.855</v>
      </c>
    </row>
    <row r="264" customFormat="false" ht="15" hidden="false" customHeight="false" outlineLevel="0" collapsed="false">
      <c r="A264" s="9" t="n">
        <v>263</v>
      </c>
      <c r="B264" s="9" t="s">
        <v>372</v>
      </c>
      <c r="C264" s="9" t="s">
        <v>29</v>
      </c>
      <c r="D264" s="9" t="s">
        <v>208</v>
      </c>
      <c r="E264" s="9" t="s">
        <v>49</v>
      </c>
      <c r="F264" s="9" t="s">
        <v>373</v>
      </c>
      <c r="G264" s="9" t="s">
        <v>210</v>
      </c>
      <c r="H264" s="10" t="n">
        <v>2.058</v>
      </c>
      <c r="I264" s="9" t="str">
        <f aca="false">IF(OR(G264="links",G264="gegen UZS"),INDEX(Bezugspunkte!$C:$C,MATCH(F264,Bezugspunkte!$A:$A,0)),INDEX(Bezugspunkte!$E:$E,MATCH(F264,Bezugspunkte!$A:$A,0)))</f>
        <v>Q7-R</v>
      </c>
      <c r="J264" s="10" t="n">
        <f aca="false">IF(OR(G264="links",G264="gegen UZS"),INDEX(Bezugspunkte!$D:$D,MATCH(F264,Bezugspunkte!$A:$A,0)),INDEX(Bezugspunkte!$F:$F,MATCH(F264,Bezugspunkte!$A:$A,0)))</f>
        <v>2.959</v>
      </c>
      <c r="K264" s="10" t="n">
        <f aca="false">J264-H264</f>
        <v>0.901</v>
      </c>
      <c r="L264" s="10" t="n">
        <f aca="false">IF(AND(F264=F263,G264=G263),H264-H263,H264)</f>
        <v>2.058</v>
      </c>
      <c r="M264" s="10" t="n">
        <v>14.618</v>
      </c>
      <c r="N264" s="10" t="n">
        <v>-34.421</v>
      </c>
    </row>
    <row r="265" customFormat="false" ht="15" hidden="false" customHeight="false" outlineLevel="0" collapsed="false">
      <c r="A265" s="9" t="n">
        <v>264</v>
      </c>
      <c r="B265" s="9" t="s">
        <v>374</v>
      </c>
      <c r="C265" s="9" t="s">
        <v>29</v>
      </c>
      <c r="D265" s="9" t="s">
        <v>208</v>
      </c>
      <c r="E265" s="9" t="s">
        <v>49</v>
      </c>
      <c r="F265" s="9" t="s">
        <v>373</v>
      </c>
      <c r="G265" s="9" t="s">
        <v>212</v>
      </c>
      <c r="H265" s="10" t="n">
        <v>0.668</v>
      </c>
      <c r="I265" s="9" t="str">
        <f aca="false">IF(OR(G265="links",G265="gegen UZS"),INDEX(Bezugspunkte!$C:$C,MATCH(F265,Bezugspunkte!$A:$A,0)),INDEX(Bezugspunkte!$E:$E,MATCH(F265,Bezugspunkte!$A:$A,0)))</f>
        <v>KI09</v>
      </c>
      <c r="J265" s="10" t="n">
        <f aca="false">IF(OR(G265="links",G265="gegen UZS"),INDEX(Bezugspunkte!$D:$D,MATCH(F265,Bezugspunkte!$A:$A,0)),INDEX(Bezugspunkte!$F:$F,MATCH(F265,Bezugspunkte!$A:$A,0)))</f>
        <v>6.468</v>
      </c>
      <c r="K265" s="10" t="n">
        <f aca="false">J265-H265</f>
        <v>5.8</v>
      </c>
      <c r="L265" s="10" t="n">
        <f aca="false">IF(AND(F265=F264,G265=G264),H265-H264,H265)</f>
        <v>0.668</v>
      </c>
      <c r="M265" s="10" t="n">
        <v>13.165</v>
      </c>
      <c r="N265" s="10" t="n">
        <v>-36.72</v>
      </c>
    </row>
    <row r="266" customFormat="false" ht="15" hidden="false" customHeight="false" outlineLevel="0" collapsed="false">
      <c r="A266" s="9" t="n">
        <v>265</v>
      </c>
      <c r="B266" s="9" t="s">
        <v>375</v>
      </c>
      <c r="C266" s="9" t="s">
        <v>29</v>
      </c>
      <c r="D266" s="9" t="s">
        <v>208</v>
      </c>
      <c r="E266" s="9" t="s">
        <v>49</v>
      </c>
      <c r="F266" s="9" t="s">
        <v>373</v>
      </c>
      <c r="G266" s="9" t="s">
        <v>212</v>
      </c>
      <c r="H266" s="10" t="n">
        <v>3.438</v>
      </c>
      <c r="I266" s="9" t="str">
        <f aca="false">IF(OR(G266="links",G266="gegen UZS"),INDEX(Bezugspunkte!$C:$C,MATCH(F266,Bezugspunkte!$A:$A,0)),INDEX(Bezugspunkte!$E:$E,MATCH(F266,Bezugspunkte!$A:$A,0)))</f>
        <v>KI09</v>
      </c>
      <c r="J266" s="10" t="n">
        <f aca="false">IF(OR(G266="links",G266="gegen UZS"),INDEX(Bezugspunkte!$D:$D,MATCH(F266,Bezugspunkte!$A:$A,0)),INDEX(Bezugspunkte!$F:$F,MATCH(F266,Bezugspunkte!$A:$A,0)))</f>
        <v>6.468</v>
      </c>
      <c r="K266" s="10" t="n">
        <f aca="false">J266-H266</f>
        <v>3.03</v>
      </c>
      <c r="L266" s="10" t="n">
        <f aca="false">IF(AND(F266=F265,G266=G265),H266-H265,H266)</f>
        <v>2.77</v>
      </c>
      <c r="M266" s="10" t="n">
        <v>11.318</v>
      </c>
      <c r="N266" s="10" t="n">
        <v>-38.821</v>
      </c>
    </row>
    <row r="267" customFormat="false" ht="15" hidden="false" customHeight="false" outlineLevel="0" collapsed="false">
      <c r="A267" s="9" t="n">
        <v>266</v>
      </c>
      <c r="B267" s="9" t="s">
        <v>376</v>
      </c>
      <c r="C267" s="9" t="s">
        <v>29</v>
      </c>
      <c r="D267" s="9" t="s">
        <v>208</v>
      </c>
      <c r="E267" s="9" t="s">
        <v>49</v>
      </c>
      <c r="F267" s="9" t="s">
        <v>373</v>
      </c>
      <c r="G267" s="9" t="s">
        <v>212</v>
      </c>
      <c r="H267" s="10" t="n">
        <v>6.145</v>
      </c>
      <c r="I267" s="9" t="str">
        <f aca="false">IF(OR(G267="links",G267="gegen UZS"),INDEX(Bezugspunkte!$C:$C,MATCH(F267,Bezugspunkte!$A:$A,0)),INDEX(Bezugspunkte!$E:$E,MATCH(F267,Bezugspunkte!$A:$A,0)))</f>
        <v>KI09</v>
      </c>
      <c r="J267" s="10" t="n">
        <f aca="false">IF(OR(G267="links",G267="gegen UZS"),INDEX(Bezugspunkte!$D:$D,MATCH(F267,Bezugspunkte!$A:$A,0)),INDEX(Bezugspunkte!$F:$F,MATCH(F267,Bezugspunkte!$A:$A,0)))</f>
        <v>6.468</v>
      </c>
      <c r="K267" s="10" t="n">
        <f aca="false">J267-H267</f>
        <v>0.323</v>
      </c>
      <c r="L267" s="10" t="n">
        <f aca="false">IF(AND(F267=F266,G267=G266),H267-H266,H267)</f>
        <v>2.707</v>
      </c>
      <c r="M267" s="10" t="n">
        <v>9.167</v>
      </c>
      <c r="N267" s="10" t="n">
        <v>-40.471</v>
      </c>
    </row>
    <row r="268" customFormat="false" ht="15" hidden="false" customHeight="false" outlineLevel="0" collapsed="false">
      <c r="A268" s="9" t="n">
        <v>267</v>
      </c>
      <c r="B268" s="9" t="s">
        <v>377</v>
      </c>
      <c r="C268" s="9" t="s">
        <v>29</v>
      </c>
      <c r="D268" s="9" t="s">
        <v>208</v>
      </c>
      <c r="E268" s="9" t="s">
        <v>49</v>
      </c>
      <c r="F268" s="9" t="s">
        <v>378</v>
      </c>
      <c r="G268" s="9" t="s">
        <v>210</v>
      </c>
      <c r="H268" s="10" t="n">
        <v>1.448</v>
      </c>
      <c r="I268" s="9" t="str">
        <f aca="false">IF(OR(G268="links",G268="gegen UZS"),INDEX(Bezugspunkte!$C:$C,MATCH(F268,Bezugspunkte!$A:$A,0)),INDEX(Bezugspunkte!$E:$E,MATCH(F268,Bezugspunkte!$A:$A,0)))</f>
        <v>KI09</v>
      </c>
      <c r="J268" s="10" t="n">
        <f aca="false">IF(OR(G268="links",G268="gegen UZS"),INDEX(Bezugspunkte!$D:$D,MATCH(F268,Bezugspunkte!$A:$A,0)),INDEX(Bezugspunkte!$F:$F,MATCH(F268,Bezugspunkte!$A:$A,0)))</f>
        <v>6.53</v>
      </c>
      <c r="K268" s="10" t="n">
        <f aca="false">J268-H268</f>
        <v>5.082</v>
      </c>
      <c r="L268" s="10" t="n">
        <f aca="false">IF(AND(F268=F267,G268=G267),H268-H267,H268)</f>
        <v>1.448</v>
      </c>
      <c r="M268" s="10" t="n">
        <v>4.175</v>
      </c>
      <c r="N268" s="10" t="n">
        <v>-42.713</v>
      </c>
    </row>
    <row r="269" customFormat="false" ht="15" hidden="false" customHeight="false" outlineLevel="0" collapsed="false">
      <c r="A269" s="9" t="n">
        <v>268</v>
      </c>
      <c r="B269" s="9" t="s">
        <v>379</v>
      </c>
      <c r="C269" s="9" t="s">
        <v>29</v>
      </c>
      <c r="D269" s="9" t="s">
        <v>208</v>
      </c>
      <c r="E269" s="9" t="s">
        <v>49</v>
      </c>
      <c r="F269" s="9" t="s">
        <v>378</v>
      </c>
      <c r="G269" s="9" t="s">
        <v>210</v>
      </c>
      <c r="H269" s="10" t="n">
        <v>4.207</v>
      </c>
      <c r="I269" s="9" t="str">
        <f aca="false">IF(OR(G269="links",G269="gegen UZS"),INDEX(Bezugspunkte!$C:$C,MATCH(F269,Bezugspunkte!$A:$A,0)),INDEX(Bezugspunkte!$E:$E,MATCH(F269,Bezugspunkte!$A:$A,0)))</f>
        <v>KI09</v>
      </c>
      <c r="J269" s="10" t="n">
        <f aca="false">IF(OR(G269="links",G269="gegen UZS"),INDEX(Bezugspunkte!$D:$D,MATCH(F269,Bezugspunkte!$A:$A,0)),INDEX(Bezugspunkte!$F:$F,MATCH(F269,Bezugspunkte!$A:$A,0)))</f>
        <v>6.53</v>
      </c>
      <c r="K269" s="10" t="n">
        <f aca="false">J269-H269</f>
        <v>2.323</v>
      </c>
      <c r="L269" s="10" t="n">
        <f aca="false">IF(AND(F269=F268,G269=G268),H269-H268,H269)</f>
        <v>2.759</v>
      </c>
      <c r="M269" s="10" t="n">
        <v>6.791</v>
      </c>
      <c r="N269" s="10" t="n">
        <v>-41.811</v>
      </c>
    </row>
    <row r="270" customFormat="false" ht="15" hidden="false" customHeight="false" outlineLevel="0" collapsed="false">
      <c r="A270" s="9" t="n">
        <v>269</v>
      </c>
      <c r="B270" s="9" t="s">
        <v>380</v>
      </c>
      <c r="C270" s="9" t="s">
        <v>29</v>
      </c>
      <c r="D270" s="9" t="s">
        <v>208</v>
      </c>
      <c r="E270" s="9" t="s">
        <v>49</v>
      </c>
      <c r="F270" s="9" t="s">
        <v>378</v>
      </c>
      <c r="G270" s="9" t="s">
        <v>212</v>
      </c>
      <c r="H270" s="10" t="n">
        <v>1.378</v>
      </c>
      <c r="I270" s="9" t="str">
        <f aca="false">IF(OR(G270="links",G270="gegen UZS"),INDEX(Bezugspunkte!$C:$C,MATCH(F270,Bezugspunkte!$A:$A,0)),INDEX(Bezugspunkte!$E:$E,MATCH(F270,Bezugspunkte!$A:$A,0)))</f>
        <v>KI11</v>
      </c>
      <c r="J270" s="10" t="n">
        <f aca="false">IF(OR(G270="links",G270="gegen UZS"),INDEX(Bezugspunkte!$D:$D,MATCH(F270,Bezugspunkte!$A:$A,0)),INDEX(Bezugspunkte!$F:$F,MATCH(F270,Bezugspunkte!$A:$A,0)))</f>
        <v>6.334</v>
      </c>
      <c r="K270" s="10" t="n">
        <f aca="false">J270-H270</f>
        <v>4.956</v>
      </c>
      <c r="L270" s="10" t="n">
        <f aca="false">IF(AND(F270=F269,G270=G269),H270-H269,H270)</f>
        <v>1.378</v>
      </c>
      <c r="M270" s="10" t="n">
        <v>1.376</v>
      </c>
      <c r="N270" s="10" t="n">
        <v>-43.313</v>
      </c>
    </row>
    <row r="271" customFormat="false" ht="15" hidden="false" customHeight="false" outlineLevel="0" collapsed="false">
      <c r="A271" s="9" t="n">
        <v>270</v>
      </c>
      <c r="B271" s="9" t="s">
        <v>381</v>
      </c>
      <c r="C271" s="9" t="s">
        <v>29</v>
      </c>
      <c r="D271" s="9" t="s">
        <v>208</v>
      </c>
      <c r="E271" s="9" t="s">
        <v>49</v>
      </c>
      <c r="F271" s="9" t="s">
        <v>378</v>
      </c>
      <c r="G271" s="9" t="s">
        <v>212</v>
      </c>
      <c r="H271" s="10" t="n">
        <v>4.177</v>
      </c>
      <c r="I271" s="9" t="str">
        <f aca="false">IF(OR(G271="links",G271="gegen UZS"),INDEX(Bezugspunkte!$C:$C,MATCH(F271,Bezugspunkte!$A:$A,0)),INDEX(Bezugspunkte!$E:$E,MATCH(F271,Bezugspunkte!$A:$A,0)))</f>
        <v>KI11</v>
      </c>
      <c r="J271" s="10" t="n">
        <f aca="false">IF(OR(G271="links",G271="gegen UZS"),INDEX(Bezugspunkte!$D:$D,MATCH(F271,Bezugspunkte!$A:$A,0)),INDEX(Bezugspunkte!$F:$F,MATCH(F271,Bezugspunkte!$A:$A,0)))</f>
        <v>6.334</v>
      </c>
      <c r="K271" s="10" t="n">
        <f aca="false">J271-H271</f>
        <v>2.157</v>
      </c>
      <c r="L271" s="10" t="n">
        <f aca="false">IF(AND(F271=F270,G271=G270),H271-H270,H271)</f>
        <v>2.799</v>
      </c>
      <c r="M271" s="10" t="n">
        <v>-1.424</v>
      </c>
      <c r="N271" s="10" t="n">
        <v>-43.313</v>
      </c>
    </row>
    <row r="272" customFormat="false" ht="15" hidden="false" customHeight="false" outlineLevel="0" collapsed="false">
      <c r="A272" s="9" t="n">
        <v>271</v>
      </c>
      <c r="B272" s="9" t="s">
        <v>382</v>
      </c>
      <c r="C272" s="9" t="s">
        <v>29</v>
      </c>
      <c r="D272" s="9" t="s">
        <v>208</v>
      </c>
      <c r="E272" s="9" t="s">
        <v>49</v>
      </c>
      <c r="F272" s="9" t="s">
        <v>383</v>
      </c>
      <c r="G272" s="9" t="s">
        <v>210</v>
      </c>
      <c r="H272" s="10" t="n">
        <v>0.293</v>
      </c>
      <c r="I272" s="9" t="str">
        <f aca="false">IF(OR(G272="links",G272="gegen UZS"),INDEX(Bezugspunkte!$C:$C,MATCH(F272,Bezugspunkte!$A:$A,0)),INDEX(Bezugspunkte!$E:$E,MATCH(F272,Bezugspunkte!$A:$A,0)))</f>
        <v>KI11</v>
      </c>
      <c r="J272" s="10" t="n">
        <f aca="false">IF(OR(G272="links",G272="gegen UZS"),INDEX(Bezugspunkte!$D:$D,MATCH(F272,Bezugspunkte!$A:$A,0)),INDEX(Bezugspunkte!$F:$F,MATCH(F272,Bezugspunkte!$A:$A,0)))</f>
        <v>6.417</v>
      </c>
      <c r="K272" s="10" t="n">
        <f aca="false">J272-H272</f>
        <v>6.124</v>
      </c>
      <c r="L272" s="10" t="n">
        <f aca="false">IF(AND(F272=F271,G272=G271),H272-H271,H272)</f>
        <v>0.293</v>
      </c>
      <c r="M272" s="10" t="n">
        <v>-9.124</v>
      </c>
      <c r="N272" s="10" t="n">
        <v>-40.471</v>
      </c>
    </row>
    <row r="273" customFormat="false" ht="15" hidden="false" customHeight="false" outlineLevel="0" collapsed="false">
      <c r="A273" s="9" t="n">
        <v>272</v>
      </c>
      <c r="B273" s="9" t="s">
        <v>384</v>
      </c>
      <c r="C273" s="9" t="s">
        <v>29</v>
      </c>
      <c r="D273" s="9" t="s">
        <v>208</v>
      </c>
      <c r="E273" s="9" t="s">
        <v>49</v>
      </c>
      <c r="F273" s="9" t="s">
        <v>383</v>
      </c>
      <c r="G273" s="9" t="s">
        <v>210</v>
      </c>
      <c r="H273" s="10" t="n">
        <v>3.058</v>
      </c>
      <c r="I273" s="9" t="str">
        <f aca="false">IF(OR(G273="links",G273="gegen UZS"),INDEX(Bezugspunkte!$C:$C,MATCH(F273,Bezugspunkte!$A:$A,0)),INDEX(Bezugspunkte!$E:$E,MATCH(F273,Bezugspunkte!$A:$A,0)))</f>
        <v>KI11</v>
      </c>
      <c r="J273" s="10" t="n">
        <f aca="false">IF(OR(G273="links",G273="gegen UZS"),INDEX(Bezugspunkte!$D:$D,MATCH(F273,Bezugspunkte!$A:$A,0)),INDEX(Bezugspunkte!$F:$F,MATCH(F273,Bezugspunkte!$A:$A,0)))</f>
        <v>6.417</v>
      </c>
      <c r="K273" s="10" t="n">
        <f aca="false">J273-H273</f>
        <v>3.359</v>
      </c>
      <c r="L273" s="10" t="n">
        <f aca="false">IF(AND(F273=F272,G273=G272),H273-H272,H273)</f>
        <v>2.765</v>
      </c>
      <c r="M273" s="10" t="n">
        <v>-6.698</v>
      </c>
      <c r="N273" s="10" t="n">
        <v>-41.811</v>
      </c>
    </row>
    <row r="274" customFormat="false" ht="15" hidden="false" customHeight="false" outlineLevel="0" collapsed="false">
      <c r="A274" s="9" t="n">
        <v>273</v>
      </c>
      <c r="B274" s="9" t="s">
        <v>385</v>
      </c>
      <c r="C274" s="9" t="s">
        <v>29</v>
      </c>
      <c r="D274" s="9" t="s">
        <v>208</v>
      </c>
      <c r="E274" s="9" t="s">
        <v>49</v>
      </c>
      <c r="F274" s="9" t="s">
        <v>383</v>
      </c>
      <c r="G274" s="9" t="s">
        <v>210</v>
      </c>
      <c r="H274" s="10" t="n">
        <v>5.771</v>
      </c>
      <c r="I274" s="9" t="str">
        <f aca="false">IF(OR(G274="links",G274="gegen UZS"),INDEX(Bezugspunkte!$C:$C,MATCH(F274,Bezugspunkte!$A:$A,0)),INDEX(Bezugspunkte!$E:$E,MATCH(F274,Bezugspunkte!$A:$A,0)))</f>
        <v>KI11</v>
      </c>
      <c r="J274" s="10" t="n">
        <f aca="false">IF(OR(G274="links",G274="gegen UZS"),INDEX(Bezugspunkte!$D:$D,MATCH(F274,Bezugspunkte!$A:$A,0)),INDEX(Bezugspunkte!$F:$F,MATCH(F274,Bezugspunkte!$A:$A,0)))</f>
        <v>6.417</v>
      </c>
      <c r="K274" s="10" t="n">
        <f aca="false">J274-H274</f>
        <v>0.646</v>
      </c>
      <c r="L274" s="10" t="n">
        <f aca="false">IF(AND(F274=F273,G274=G273),H274-H273,H274)</f>
        <v>2.713</v>
      </c>
      <c r="M274" s="10" t="n">
        <v>-4.124</v>
      </c>
      <c r="N274" s="10" t="n">
        <v>-42.713</v>
      </c>
    </row>
    <row r="275" customFormat="false" ht="15" hidden="false" customHeight="false" outlineLevel="0" collapsed="false">
      <c r="A275" s="9" t="n">
        <v>274</v>
      </c>
      <c r="B275" s="9" t="s">
        <v>386</v>
      </c>
      <c r="C275" s="9" t="s">
        <v>29</v>
      </c>
      <c r="D275" s="9" t="s">
        <v>208</v>
      </c>
      <c r="E275" s="9" t="s">
        <v>49</v>
      </c>
      <c r="F275" s="9" t="s">
        <v>383</v>
      </c>
      <c r="G275" s="9" t="s">
        <v>212</v>
      </c>
      <c r="H275" s="10" t="n">
        <v>2.395</v>
      </c>
      <c r="I275" s="9" t="str">
        <f aca="false">IF(OR(G275="links",G275="gegen UZS"),INDEX(Bezugspunkte!$C:$C,MATCH(F275,Bezugspunkte!$A:$A,0)),INDEX(Bezugspunkte!$E:$E,MATCH(F275,Bezugspunkte!$A:$A,0)))</f>
        <v>KI13</v>
      </c>
      <c r="J275" s="10" t="n">
        <f aca="false">IF(OR(G275="links",G275="gegen UZS"),INDEX(Bezugspunkte!$D:$D,MATCH(F275,Bezugspunkte!$A:$A,0)),INDEX(Bezugspunkte!$F:$F,MATCH(F275,Bezugspunkte!$A:$A,0)))</f>
        <v>6.56</v>
      </c>
      <c r="K275" s="10" t="n">
        <f aca="false">J275-H275</f>
        <v>4.165</v>
      </c>
      <c r="L275" s="10" t="n">
        <f aca="false">IF(AND(F275=F274,G275=G274),H275-H274,H275)</f>
        <v>2.395</v>
      </c>
      <c r="M275" s="10" t="n">
        <v>-11.267</v>
      </c>
      <c r="N275" s="10" t="n">
        <v>-38.821</v>
      </c>
    </row>
    <row r="276" customFormat="false" ht="15" hidden="false" customHeight="false" outlineLevel="0" collapsed="false">
      <c r="A276" s="9" t="n">
        <v>275</v>
      </c>
      <c r="B276" s="9" t="s">
        <v>387</v>
      </c>
      <c r="C276" s="9" t="s">
        <v>29</v>
      </c>
      <c r="D276" s="9" t="s">
        <v>208</v>
      </c>
      <c r="E276" s="9" t="s">
        <v>49</v>
      </c>
      <c r="F276" s="9" t="s">
        <v>383</v>
      </c>
      <c r="G276" s="9" t="s">
        <v>212</v>
      </c>
      <c r="H276" s="10" t="n">
        <v>5.193</v>
      </c>
      <c r="I276" s="9" t="str">
        <f aca="false">IF(OR(G276="links",G276="gegen UZS"),INDEX(Bezugspunkte!$C:$C,MATCH(F276,Bezugspunkte!$A:$A,0)),INDEX(Bezugspunkte!$E:$E,MATCH(F276,Bezugspunkte!$A:$A,0)))</f>
        <v>KI13</v>
      </c>
      <c r="J276" s="10" t="n">
        <f aca="false">IF(OR(G276="links",G276="gegen UZS"),INDEX(Bezugspunkte!$D:$D,MATCH(F276,Bezugspunkte!$A:$A,0)),INDEX(Bezugspunkte!$F:$F,MATCH(F276,Bezugspunkte!$A:$A,0)))</f>
        <v>6.56</v>
      </c>
      <c r="K276" s="10" t="n">
        <f aca="false">J276-H276</f>
        <v>1.367</v>
      </c>
      <c r="L276" s="10" t="n">
        <f aca="false">IF(AND(F276=F275,G276=G275),H276-H275,H276)</f>
        <v>2.798</v>
      </c>
      <c r="M276" s="10" t="n">
        <v>-13.114</v>
      </c>
      <c r="N276" s="10" t="n">
        <v>-36.72</v>
      </c>
    </row>
    <row r="277" customFormat="false" ht="15" hidden="false" customHeight="false" outlineLevel="0" collapsed="false">
      <c r="A277" s="9" t="n">
        <v>276</v>
      </c>
      <c r="B277" s="9" t="s">
        <v>388</v>
      </c>
      <c r="C277" s="9" t="s">
        <v>29</v>
      </c>
      <c r="D277" s="9" t="s">
        <v>208</v>
      </c>
      <c r="E277" s="9" t="s">
        <v>49</v>
      </c>
      <c r="F277" s="9" t="s">
        <v>389</v>
      </c>
      <c r="G277" s="9" t="s">
        <v>210</v>
      </c>
      <c r="H277" s="10" t="n">
        <v>0.885</v>
      </c>
      <c r="I277" s="9" t="str">
        <f aca="false">IF(OR(G277="links",G277="gegen UZS"),INDEX(Bezugspunkte!$C:$C,MATCH(F277,Bezugspunkte!$A:$A,0)),INDEX(Bezugspunkte!$E:$E,MATCH(F277,Bezugspunkte!$A:$A,0)))</f>
        <v>KI13</v>
      </c>
      <c r="J277" s="10" t="n">
        <f aca="false">IF(OR(G277="links",G277="gegen UZS"),INDEX(Bezugspunkte!$D:$D,MATCH(F277,Bezugspunkte!$A:$A,0)),INDEX(Bezugspunkte!$F:$F,MATCH(F277,Bezugspunkte!$A:$A,0)))</f>
        <v>2.165</v>
      </c>
      <c r="K277" s="10" t="n">
        <f aca="false">J277-H277</f>
        <v>1.28</v>
      </c>
      <c r="L277" s="10" t="n">
        <f aca="false">IF(AND(F277=F276,G277=G276),H277-H276,H277)</f>
        <v>0.885</v>
      </c>
      <c r="M277" s="10" t="n">
        <v>-14.567</v>
      </c>
      <c r="N277" s="10" t="n">
        <v>-34.421</v>
      </c>
    </row>
    <row r="278" customFormat="false" ht="15" hidden="false" customHeight="false" outlineLevel="0" collapsed="false">
      <c r="A278" s="9" t="n">
        <v>277</v>
      </c>
      <c r="B278" s="9" t="s">
        <v>390</v>
      </c>
      <c r="C278" s="9" t="s">
        <v>29</v>
      </c>
      <c r="D278" s="9" t="s">
        <v>208</v>
      </c>
      <c r="E278" s="9" t="s">
        <v>49</v>
      </c>
      <c r="F278" s="9" t="s">
        <v>389</v>
      </c>
      <c r="G278" s="9" t="s">
        <v>212</v>
      </c>
      <c r="H278" s="10" t="n">
        <v>1.881</v>
      </c>
      <c r="I278" s="9" t="str">
        <f aca="false">IF(OR(G278="links",G278="gegen UZS"),INDEX(Bezugspunkte!$C:$C,MATCH(F278,Bezugspunkte!$A:$A,0)),INDEX(Bezugspunkte!$E:$E,MATCH(F278,Bezugspunkte!$A:$A,0)))</f>
        <v>KI14</v>
      </c>
      <c r="J278" s="10" t="n">
        <f aca="false">IF(OR(G278="links",G278="gegen UZS"),INDEX(Bezugspunkte!$D:$D,MATCH(F278,Bezugspunkte!$A:$A,0)),INDEX(Bezugspunkte!$F:$F,MATCH(F278,Bezugspunkte!$A:$A,0)))</f>
        <v>5.186</v>
      </c>
      <c r="K278" s="10" t="n">
        <f aca="false">J278-H278</f>
        <v>3.305</v>
      </c>
      <c r="L278" s="10" t="n">
        <f aca="false">IF(AND(F278=F277,G278=G277),H278-H277,H278)</f>
        <v>1.881</v>
      </c>
      <c r="M278" s="10" t="n">
        <v>-15.611</v>
      </c>
      <c r="N278" s="10" t="n">
        <v>-31.855</v>
      </c>
    </row>
    <row r="279" customFormat="false" ht="15" hidden="false" customHeight="false" outlineLevel="0" collapsed="false">
      <c r="A279" s="9" t="n">
        <v>278</v>
      </c>
      <c r="B279" s="9" t="s">
        <v>391</v>
      </c>
      <c r="C279" s="9" t="s">
        <v>29</v>
      </c>
      <c r="D279" s="9" t="s">
        <v>208</v>
      </c>
      <c r="E279" s="9" t="s">
        <v>49</v>
      </c>
      <c r="F279" s="9" t="s">
        <v>389</v>
      </c>
      <c r="G279" s="9" t="s">
        <v>212</v>
      </c>
      <c r="H279" s="10" t="n">
        <v>4.629</v>
      </c>
      <c r="I279" s="9" t="str">
        <f aca="false">IF(OR(G279="links",G279="gegen UZS"),INDEX(Bezugspunkte!$C:$C,MATCH(F279,Bezugspunkte!$A:$A,0)),INDEX(Bezugspunkte!$E:$E,MATCH(F279,Bezugspunkte!$A:$A,0)))</f>
        <v>KI14</v>
      </c>
      <c r="J279" s="10" t="n">
        <f aca="false">IF(OR(G279="links",G279="gegen UZS"),INDEX(Bezugspunkte!$D:$D,MATCH(F279,Bezugspunkte!$A:$A,0)),INDEX(Bezugspunkte!$F:$F,MATCH(F279,Bezugspunkte!$A:$A,0)))</f>
        <v>5.186</v>
      </c>
      <c r="K279" s="10" t="n">
        <f aca="false">J279-H279</f>
        <v>0.557</v>
      </c>
      <c r="L279" s="10" t="n">
        <f aca="false">IF(AND(F279=F278,G279=G278),H279-H278,H279)</f>
        <v>2.748</v>
      </c>
      <c r="M279" s="10" t="n">
        <v>-16.414</v>
      </c>
      <c r="N279" s="10" t="n">
        <v>-29.225</v>
      </c>
    </row>
    <row r="280" customFormat="false" ht="15" hidden="false" customHeight="false" outlineLevel="0" collapsed="false">
      <c r="A280" s="9" t="n">
        <v>279</v>
      </c>
      <c r="B280" s="9" t="s">
        <v>392</v>
      </c>
      <c r="C280" s="9" t="s">
        <v>29</v>
      </c>
      <c r="D280" s="9" t="s">
        <v>208</v>
      </c>
      <c r="E280" s="9" t="s">
        <v>49</v>
      </c>
      <c r="F280" s="9" t="s">
        <v>393</v>
      </c>
      <c r="G280" s="9" t="s">
        <v>210</v>
      </c>
      <c r="H280" s="10" t="n">
        <v>2.007</v>
      </c>
      <c r="I280" s="9" t="str">
        <f aca="false">IF(OR(G280="links",G280="gegen UZS"),INDEX(Bezugspunkte!$C:$C,MATCH(F280,Bezugspunkte!$A:$A,0)),INDEX(Bezugspunkte!$E:$E,MATCH(F280,Bezugspunkte!$A:$A,0)))</f>
        <v>KI14</v>
      </c>
      <c r="J280" s="10" t="n">
        <f aca="false">IF(OR(G280="links",G280="gegen UZS"),INDEX(Bezugspunkte!$D:$D,MATCH(F280,Bezugspunkte!$A:$A,0)),INDEX(Bezugspunkte!$F:$F,MATCH(F280,Bezugspunkte!$A:$A,0)))</f>
        <v>6.916</v>
      </c>
      <c r="K280" s="10" t="n">
        <f aca="false">J280-H280</f>
        <v>4.909</v>
      </c>
      <c r="L280" s="10" t="n">
        <f aca="false">IF(AND(F280=F279,G280=G279),H280-H279,H280)</f>
        <v>2.007</v>
      </c>
      <c r="M280" s="10" t="n">
        <v>-17.014</v>
      </c>
      <c r="N280" s="10" t="n">
        <v>-23.725</v>
      </c>
    </row>
    <row r="281" customFormat="false" ht="15" hidden="false" customHeight="false" outlineLevel="0" collapsed="false">
      <c r="A281" s="9" t="n">
        <v>280</v>
      </c>
      <c r="B281" s="9" t="s">
        <v>394</v>
      </c>
      <c r="C281" s="9" t="s">
        <v>29</v>
      </c>
      <c r="D281" s="9" t="s">
        <v>208</v>
      </c>
      <c r="E281" s="9" t="s">
        <v>49</v>
      </c>
      <c r="F281" s="9" t="s">
        <v>393</v>
      </c>
      <c r="G281" s="9" t="s">
        <v>210</v>
      </c>
      <c r="H281" s="10" t="n">
        <v>4.756</v>
      </c>
      <c r="I281" s="9" t="str">
        <f aca="false">IF(OR(G281="links",G281="gegen UZS"),INDEX(Bezugspunkte!$C:$C,MATCH(F281,Bezugspunkte!$A:$A,0)),INDEX(Bezugspunkte!$E:$E,MATCH(F281,Bezugspunkte!$A:$A,0)))</f>
        <v>KI14</v>
      </c>
      <c r="J281" s="10" t="n">
        <f aca="false">IF(OR(G281="links",G281="gegen UZS"),INDEX(Bezugspunkte!$D:$D,MATCH(F281,Bezugspunkte!$A:$A,0)),INDEX(Bezugspunkte!$F:$F,MATCH(F281,Bezugspunkte!$A:$A,0)))</f>
        <v>6.916</v>
      </c>
      <c r="K281" s="10" t="n">
        <f aca="false">J281-H281</f>
        <v>2.16</v>
      </c>
      <c r="L281" s="10" t="n">
        <f aca="false">IF(AND(F281=F280,G281=G280),H281-H280,H281)</f>
        <v>2.749</v>
      </c>
      <c r="M281" s="10" t="n">
        <v>-16.866</v>
      </c>
      <c r="N281" s="10" t="n">
        <v>-26.475</v>
      </c>
    </row>
    <row r="282" customFormat="false" ht="15" hidden="false" customHeight="false" outlineLevel="0" collapsed="false">
      <c r="A282" s="9" t="n">
        <v>281</v>
      </c>
      <c r="B282" s="9" t="s">
        <v>395</v>
      </c>
      <c r="C282" s="9" t="s">
        <v>29</v>
      </c>
      <c r="D282" s="9" t="s">
        <v>208</v>
      </c>
      <c r="E282" s="9" t="s">
        <v>49</v>
      </c>
      <c r="F282" s="9" t="s">
        <v>393</v>
      </c>
      <c r="G282" s="9" t="s">
        <v>212</v>
      </c>
      <c r="H282" s="10" t="n">
        <v>0.774</v>
      </c>
      <c r="I282" s="9" t="str">
        <f aca="false">IF(OR(G282="links",G282="gegen UZS"),INDEX(Bezugspunkte!$C:$C,MATCH(F282,Bezugspunkte!$A:$A,0)),INDEX(Bezugspunkte!$E:$E,MATCH(F282,Bezugspunkte!$A:$A,0)))</f>
        <v>Q5-L</v>
      </c>
      <c r="J282" s="10" t="n">
        <f aca="false">IF(OR(G282="links",G282="gegen UZS"),INDEX(Bezugspunkte!$D:$D,MATCH(F282,Bezugspunkte!$A:$A,0)),INDEX(Bezugspunkte!$F:$F,MATCH(F282,Bezugspunkte!$A:$A,0)))</f>
        <v>15.126</v>
      </c>
      <c r="K282" s="10" t="n">
        <f aca="false">J282-H282</f>
        <v>14.352</v>
      </c>
      <c r="L282" s="10" t="n">
        <f aca="false">IF(AND(F282=F281,G282=G281),H282-H281,H282)</f>
        <v>0.774</v>
      </c>
      <c r="M282" s="10" t="n">
        <v>-17.268</v>
      </c>
      <c r="N282" s="10" t="n">
        <v>-20.933</v>
      </c>
    </row>
    <row r="283" customFormat="false" ht="15" hidden="false" customHeight="false" outlineLevel="0" collapsed="false">
      <c r="A283" s="9" t="n">
        <v>282</v>
      </c>
      <c r="B283" s="9" t="s">
        <v>396</v>
      </c>
      <c r="C283" s="9" t="s">
        <v>31</v>
      </c>
      <c r="D283" s="9" t="s">
        <v>89</v>
      </c>
      <c r="E283" s="9" t="s">
        <v>49</v>
      </c>
      <c r="F283" s="9" t="s">
        <v>393</v>
      </c>
      <c r="G283" s="9" t="s">
        <v>212</v>
      </c>
      <c r="H283" s="10" t="n">
        <v>1.577</v>
      </c>
      <c r="I283" s="9" t="str">
        <f aca="false">IF(OR(G283="links",G283="gegen UZS"),INDEX(Bezugspunkte!$C:$C,MATCH(F283,Bezugspunkte!$A:$A,0)),INDEX(Bezugspunkte!$E:$E,MATCH(F283,Bezugspunkte!$A:$A,0)))</f>
        <v>Q5-L</v>
      </c>
      <c r="J283" s="10" t="n">
        <f aca="false">IF(OR(G283="links",G283="gegen UZS"),INDEX(Bezugspunkte!$D:$D,MATCH(F283,Bezugspunkte!$A:$A,0)),INDEX(Bezugspunkte!$F:$F,MATCH(F283,Bezugspunkte!$A:$A,0)))</f>
        <v>15.126</v>
      </c>
      <c r="K283" s="10" t="n">
        <f aca="false">J283-H283</f>
        <v>13.549</v>
      </c>
      <c r="L283" s="10" t="n">
        <f aca="false">IF(AND(F283=F282,G283=G282),H283-H282,H283)</f>
        <v>0.803</v>
      </c>
      <c r="M283" s="10" t="n">
        <v>-16.816</v>
      </c>
      <c r="N283" s="10" t="n">
        <v>-20.129</v>
      </c>
    </row>
    <row r="284" customFormat="false" ht="15" hidden="false" customHeight="false" outlineLevel="0" collapsed="false">
      <c r="A284" s="9" t="n">
        <v>283</v>
      </c>
      <c r="B284" s="9" t="s">
        <v>397</v>
      </c>
      <c r="C284" s="9" t="s">
        <v>29</v>
      </c>
      <c r="D284" s="9" t="s">
        <v>208</v>
      </c>
      <c r="E284" s="9" t="s">
        <v>49</v>
      </c>
      <c r="F284" s="9" t="s">
        <v>393</v>
      </c>
      <c r="G284" s="9" t="s">
        <v>212</v>
      </c>
      <c r="H284" s="10" t="n">
        <v>3.778</v>
      </c>
      <c r="I284" s="9" t="str">
        <f aca="false">IF(OR(G284="links",G284="gegen UZS"),INDEX(Bezugspunkte!$C:$C,MATCH(F284,Bezugspunkte!$A:$A,0)),INDEX(Bezugspunkte!$E:$E,MATCH(F284,Bezugspunkte!$A:$A,0)))</f>
        <v>Q5-L</v>
      </c>
      <c r="J284" s="10" t="n">
        <f aca="false">IF(OR(G284="links",G284="gegen UZS"),INDEX(Bezugspunkte!$D:$D,MATCH(F284,Bezugspunkte!$A:$A,0)),INDEX(Bezugspunkte!$F:$F,MATCH(F284,Bezugspunkte!$A:$A,0)))</f>
        <v>15.126</v>
      </c>
      <c r="K284" s="10" t="n">
        <f aca="false">J284-H284</f>
        <v>11.348</v>
      </c>
      <c r="L284" s="10" t="n">
        <f aca="false">IF(AND(F284=F283,G284=G283),H284-H283,H284)</f>
        <v>2.201</v>
      </c>
      <c r="M284" s="10" t="n">
        <v>-17.268</v>
      </c>
      <c r="N284" s="10" t="n">
        <v>-17.929</v>
      </c>
    </row>
    <row r="285" customFormat="false" ht="15" hidden="false" customHeight="false" outlineLevel="0" collapsed="false">
      <c r="A285" s="9" t="n">
        <v>284</v>
      </c>
      <c r="B285" s="9" t="s">
        <v>398</v>
      </c>
      <c r="C285" s="9" t="s">
        <v>31</v>
      </c>
      <c r="D285" s="9" t="s">
        <v>89</v>
      </c>
      <c r="E285" s="9" t="s">
        <v>49</v>
      </c>
      <c r="F285" s="9" t="s">
        <v>393</v>
      </c>
      <c r="G285" s="9" t="s">
        <v>212</v>
      </c>
      <c r="H285" s="10" t="n">
        <v>6.076</v>
      </c>
      <c r="I285" s="9" t="str">
        <f aca="false">IF(OR(G285="links",G285="gegen UZS"),INDEX(Bezugspunkte!$C:$C,MATCH(F285,Bezugspunkte!$A:$A,0)),INDEX(Bezugspunkte!$E:$E,MATCH(F285,Bezugspunkte!$A:$A,0)))</f>
        <v>Q5-L</v>
      </c>
      <c r="J285" s="10" t="n">
        <f aca="false">IF(OR(G285="links",G285="gegen UZS"),INDEX(Bezugspunkte!$D:$D,MATCH(F285,Bezugspunkte!$A:$A,0)),INDEX(Bezugspunkte!$F:$F,MATCH(F285,Bezugspunkte!$A:$A,0)))</f>
        <v>15.126</v>
      </c>
      <c r="K285" s="10" t="n">
        <f aca="false">J285-H285</f>
        <v>9.05</v>
      </c>
      <c r="L285" s="10" t="n">
        <f aca="false">IF(AND(F285=F284,G285=G284),H285-H284,H285)</f>
        <v>2.298</v>
      </c>
      <c r="M285" s="10" t="n">
        <v>-16.816</v>
      </c>
      <c r="N285" s="10" t="n">
        <v>-15.63</v>
      </c>
    </row>
    <row r="286" customFormat="false" ht="15" hidden="false" customHeight="false" outlineLevel="0" collapsed="false">
      <c r="A286" s="9" t="n">
        <v>285</v>
      </c>
      <c r="B286" s="9" t="s">
        <v>399</v>
      </c>
      <c r="C286" s="9" t="s">
        <v>29</v>
      </c>
      <c r="D286" s="9" t="s">
        <v>208</v>
      </c>
      <c r="E286" s="9" t="s">
        <v>49</v>
      </c>
      <c r="F286" s="9" t="s">
        <v>393</v>
      </c>
      <c r="G286" s="9" t="s">
        <v>212</v>
      </c>
      <c r="H286" s="10" t="n">
        <v>6.774</v>
      </c>
      <c r="I286" s="9" t="str">
        <f aca="false">IF(OR(G286="links",G286="gegen UZS"),INDEX(Bezugspunkte!$C:$C,MATCH(F286,Bezugspunkte!$A:$A,0)),INDEX(Bezugspunkte!$E:$E,MATCH(F286,Bezugspunkte!$A:$A,0)))</f>
        <v>Q5-L</v>
      </c>
      <c r="J286" s="10" t="n">
        <f aca="false">IF(OR(G286="links",G286="gegen UZS"),INDEX(Bezugspunkte!$D:$D,MATCH(F286,Bezugspunkte!$A:$A,0)),INDEX(Bezugspunkte!$F:$F,MATCH(F286,Bezugspunkte!$A:$A,0)))</f>
        <v>15.126</v>
      </c>
      <c r="K286" s="10" t="n">
        <f aca="false">J286-H286</f>
        <v>8.352</v>
      </c>
      <c r="L286" s="10" t="n">
        <f aca="false">IF(AND(F286=F285,G286=G285),H286-H285,H286)</f>
        <v>0.698</v>
      </c>
      <c r="M286" s="10" t="n">
        <v>-17.268</v>
      </c>
      <c r="N286" s="10" t="n">
        <v>-14.932</v>
      </c>
    </row>
    <row r="287" customFormat="false" ht="15" hidden="false" customHeight="false" outlineLevel="0" collapsed="false">
      <c r="A287" s="9" t="n">
        <v>286</v>
      </c>
      <c r="B287" s="9" t="s">
        <v>400</v>
      </c>
      <c r="C287" s="9" t="s">
        <v>31</v>
      </c>
      <c r="D287" s="9" t="s">
        <v>89</v>
      </c>
      <c r="E287" s="9" t="s">
        <v>49</v>
      </c>
      <c r="F287" s="9" t="s">
        <v>393</v>
      </c>
      <c r="G287" s="9" t="s">
        <v>212</v>
      </c>
      <c r="H287" s="10" t="n">
        <v>9.072</v>
      </c>
      <c r="I287" s="9" t="str">
        <f aca="false">IF(OR(G287="links",G287="gegen UZS"),INDEX(Bezugspunkte!$C:$C,MATCH(F287,Bezugspunkte!$A:$A,0)),INDEX(Bezugspunkte!$E:$E,MATCH(F287,Bezugspunkte!$A:$A,0)))</f>
        <v>Q5-L</v>
      </c>
      <c r="J287" s="10" t="n">
        <f aca="false">IF(OR(G287="links",G287="gegen UZS"),INDEX(Bezugspunkte!$D:$D,MATCH(F287,Bezugspunkte!$A:$A,0)),INDEX(Bezugspunkte!$F:$F,MATCH(F287,Bezugspunkte!$A:$A,0)))</f>
        <v>15.126</v>
      </c>
      <c r="K287" s="10" t="n">
        <f aca="false">J287-H287</f>
        <v>6.054</v>
      </c>
      <c r="L287" s="10" t="n">
        <f aca="false">IF(AND(F287=F286,G287=G286),H287-H286,H287)</f>
        <v>2.298</v>
      </c>
      <c r="M287" s="10" t="n">
        <v>-16.816</v>
      </c>
      <c r="N287" s="10" t="n">
        <v>-12.633</v>
      </c>
    </row>
    <row r="288" customFormat="false" ht="15" hidden="false" customHeight="false" outlineLevel="0" collapsed="false">
      <c r="A288" s="9" t="n">
        <v>287</v>
      </c>
      <c r="B288" s="9" t="s">
        <v>401</v>
      </c>
      <c r="C288" s="9" t="s">
        <v>29</v>
      </c>
      <c r="D288" s="9" t="s">
        <v>208</v>
      </c>
      <c r="E288" s="9" t="s">
        <v>49</v>
      </c>
      <c r="F288" s="9" t="s">
        <v>393</v>
      </c>
      <c r="G288" s="9" t="s">
        <v>212</v>
      </c>
      <c r="H288" s="10" t="n">
        <v>9.771</v>
      </c>
      <c r="I288" s="9" t="str">
        <f aca="false">IF(OR(G288="links",G288="gegen UZS"),INDEX(Bezugspunkte!$C:$C,MATCH(F288,Bezugspunkte!$A:$A,0)),INDEX(Bezugspunkte!$E:$E,MATCH(F288,Bezugspunkte!$A:$A,0)))</f>
        <v>Q5-L</v>
      </c>
      <c r="J288" s="10" t="n">
        <f aca="false">IF(OR(G288="links",G288="gegen UZS"),INDEX(Bezugspunkte!$D:$D,MATCH(F288,Bezugspunkte!$A:$A,0)),INDEX(Bezugspunkte!$F:$F,MATCH(F288,Bezugspunkte!$A:$A,0)))</f>
        <v>15.126</v>
      </c>
      <c r="K288" s="10" t="n">
        <f aca="false">J288-H288</f>
        <v>5.355</v>
      </c>
      <c r="L288" s="10" t="n">
        <f aca="false">IF(AND(F288=F287,G288=G287),H288-H287,H288)</f>
        <v>0.699000000000002</v>
      </c>
      <c r="M288" s="10" t="n">
        <v>-17.268</v>
      </c>
      <c r="N288" s="10" t="n">
        <v>-11.935</v>
      </c>
    </row>
    <row r="289" customFormat="false" ht="15" hidden="false" customHeight="false" outlineLevel="0" collapsed="false">
      <c r="A289" s="9" t="n">
        <v>288</v>
      </c>
      <c r="B289" s="9" t="s">
        <v>402</v>
      </c>
      <c r="C289" s="9" t="s">
        <v>31</v>
      </c>
      <c r="D289" s="9" t="s">
        <v>89</v>
      </c>
      <c r="E289" s="9" t="s">
        <v>49</v>
      </c>
      <c r="F289" s="9" t="s">
        <v>393</v>
      </c>
      <c r="G289" s="9" t="s">
        <v>212</v>
      </c>
      <c r="H289" s="10" t="n">
        <v>10.468</v>
      </c>
      <c r="I289" s="9" t="str">
        <f aca="false">IF(OR(G289="links",G289="gegen UZS"),INDEX(Bezugspunkte!$C:$C,MATCH(F289,Bezugspunkte!$A:$A,0)),INDEX(Bezugspunkte!$E:$E,MATCH(F289,Bezugspunkte!$A:$A,0)))</f>
        <v>Q5-L</v>
      </c>
      <c r="J289" s="10" t="n">
        <f aca="false">IF(OR(G289="links",G289="gegen UZS"),INDEX(Bezugspunkte!$D:$D,MATCH(F289,Bezugspunkte!$A:$A,0)),INDEX(Bezugspunkte!$F:$F,MATCH(F289,Bezugspunkte!$A:$A,0)))</f>
        <v>15.126</v>
      </c>
      <c r="K289" s="10" t="n">
        <f aca="false">J289-H289</f>
        <v>4.658</v>
      </c>
      <c r="L289" s="10" t="n">
        <f aca="false">IF(AND(F289=F288,G289=G288),H289-H288,H289)</f>
        <v>0.696999999999999</v>
      </c>
      <c r="M289" s="10" t="n">
        <v>-16.816</v>
      </c>
      <c r="N289" s="10" t="n">
        <v>-11.237</v>
      </c>
    </row>
    <row r="290" customFormat="false" ht="15" hidden="false" customHeight="false" outlineLevel="0" collapsed="false">
      <c r="A290" s="9" t="n">
        <v>289</v>
      </c>
      <c r="B290" s="9" t="s">
        <v>403</v>
      </c>
      <c r="C290" s="9" t="s">
        <v>29</v>
      </c>
      <c r="D290" s="9" t="s">
        <v>208</v>
      </c>
      <c r="E290" s="9" t="s">
        <v>49</v>
      </c>
      <c r="F290" s="9" t="s">
        <v>393</v>
      </c>
      <c r="G290" s="9" t="s">
        <v>212</v>
      </c>
      <c r="H290" s="10" t="n">
        <v>12.768</v>
      </c>
      <c r="I290" s="9" t="str">
        <f aca="false">IF(OR(G290="links",G290="gegen UZS"),INDEX(Bezugspunkte!$C:$C,MATCH(F290,Bezugspunkte!$A:$A,0)),INDEX(Bezugspunkte!$E:$E,MATCH(F290,Bezugspunkte!$A:$A,0)))</f>
        <v>Q5-L</v>
      </c>
      <c r="J290" s="10" t="n">
        <f aca="false">IF(OR(G290="links",G290="gegen UZS"),INDEX(Bezugspunkte!$D:$D,MATCH(F290,Bezugspunkte!$A:$A,0)),INDEX(Bezugspunkte!$F:$F,MATCH(F290,Bezugspunkte!$A:$A,0)))</f>
        <v>15.126</v>
      </c>
      <c r="K290" s="10" t="n">
        <f aca="false">J290-H290</f>
        <v>2.358</v>
      </c>
      <c r="L290" s="10" t="n">
        <f aca="false">IF(AND(F290=F289,G290=G289),H290-H289,H290)</f>
        <v>2.3</v>
      </c>
      <c r="M290" s="10" t="n">
        <v>-17.268</v>
      </c>
      <c r="N290" s="10" t="n">
        <v>-8.939</v>
      </c>
    </row>
    <row r="291" customFormat="false" ht="15" hidden="false" customHeight="false" outlineLevel="0" collapsed="false">
      <c r="A291" s="9" t="n">
        <v>290</v>
      </c>
      <c r="B291" s="9" t="s">
        <v>404</v>
      </c>
      <c r="C291" s="9" t="s">
        <v>31</v>
      </c>
      <c r="D291" s="9" t="s">
        <v>89</v>
      </c>
      <c r="E291" s="9" t="s">
        <v>49</v>
      </c>
      <c r="F291" s="9" t="s">
        <v>405</v>
      </c>
      <c r="G291" s="9" t="s">
        <v>210</v>
      </c>
      <c r="H291" s="10" t="n">
        <v>0.647</v>
      </c>
      <c r="I291" s="9" t="str">
        <f aca="false">IF(OR(G291="links",G291="gegen UZS"),INDEX(Bezugspunkte!$C:$C,MATCH(F291,Bezugspunkte!$A:$A,0)),INDEX(Bezugspunkte!$E:$E,MATCH(F291,Bezugspunkte!$A:$A,0)))</f>
        <v>Q5-L</v>
      </c>
      <c r="J291" s="10" t="n">
        <f aca="false">IF(OR(G291="links",G291="gegen UZS"),INDEX(Bezugspunkte!$D:$D,MATCH(F291,Bezugspunkte!$A:$A,0)),INDEX(Bezugspunkte!$F:$F,MATCH(F291,Bezugspunkte!$A:$A,0)))</f>
        <v>6.58</v>
      </c>
      <c r="K291" s="10" t="n">
        <f aca="false">J291-H291</f>
        <v>5.933</v>
      </c>
      <c r="L291" s="10" t="n">
        <f aca="false">IF(AND(F291=F290,G291=G290),H291-H290,H291)</f>
        <v>0.647</v>
      </c>
      <c r="M291" s="10" t="n">
        <v>-16.816</v>
      </c>
      <c r="N291" s="10" t="n">
        <v>-0.647</v>
      </c>
    </row>
    <row r="292" customFormat="false" ht="15" hidden="false" customHeight="false" outlineLevel="0" collapsed="false">
      <c r="A292" s="9" t="n">
        <v>291</v>
      </c>
      <c r="B292" s="9" t="s">
        <v>406</v>
      </c>
      <c r="C292" s="9" t="s">
        <v>31</v>
      </c>
      <c r="D292" s="9" t="s">
        <v>89</v>
      </c>
      <c r="E292" s="9" t="s">
        <v>49</v>
      </c>
      <c r="F292" s="9" t="s">
        <v>405</v>
      </c>
      <c r="G292" s="9" t="s">
        <v>210</v>
      </c>
      <c r="H292" s="10" t="n">
        <v>2.339</v>
      </c>
      <c r="I292" s="9" t="str">
        <f aca="false">IF(OR(G292="links",G292="gegen UZS"),INDEX(Bezugspunkte!$C:$C,MATCH(F292,Bezugspunkte!$A:$A,0)),INDEX(Bezugspunkte!$E:$E,MATCH(F292,Bezugspunkte!$A:$A,0)))</f>
        <v>Q5-L</v>
      </c>
      <c r="J292" s="10" t="n">
        <f aca="false">IF(OR(G292="links",G292="gegen UZS"),INDEX(Bezugspunkte!$D:$D,MATCH(F292,Bezugspunkte!$A:$A,0)),INDEX(Bezugspunkte!$F:$F,MATCH(F292,Bezugspunkte!$A:$A,0)))</f>
        <v>6.58</v>
      </c>
      <c r="K292" s="10" t="n">
        <f aca="false">J292-H292</f>
        <v>4.241</v>
      </c>
      <c r="L292" s="10" t="n">
        <f aca="false">IF(AND(F292=F291,G292=G291),H292-H291,H292)</f>
        <v>1.692</v>
      </c>
      <c r="M292" s="10" t="n">
        <v>-16.816</v>
      </c>
      <c r="N292" s="10" t="n">
        <v>-2.339</v>
      </c>
    </row>
    <row r="293" customFormat="false" ht="15" hidden="false" customHeight="false" outlineLevel="0" collapsed="false">
      <c r="A293" s="9" t="n">
        <v>292</v>
      </c>
      <c r="B293" s="9" t="s">
        <v>407</v>
      </c>
      <c r="C293" s="9" t="s">
        <v>29</v>
      </c>
      <c r="D293" s="9" t="s">
        <v>208</v>
      </c>
      <c r="E293" s="9" t="s">
        <v>49</v>
      </c>
      <c r="F293" s="9" t="s">
        <v>405</v>
      </c>
      <c r="G293" s="9" t="s">
        <v>210</v>
      </c>
      <c r="H293" s="10" t="n">
        <v>2.938</v>
      </c>
      <c r="I293" s="9" t="str">
        <f aca="false">IF(OR(G293="links",G293="gegen UZS"),INDEX(Bezugspunkte!$C:$C,MATCH(F293,Bezugspunkte!$A:$A,0)),INDEX(Bezugspunkte!$E:$E,MATCH(F293,Bezugspunkte!$A:$A,0)))</f>
        <v>Q5-L</v>
      </c>
      <c r="J293" s="10" t="n">
        <f aca="false">IF(OR(G293="links",G293="gegen UZS"),INDEX(Bezugspunkte!$D:$D,MATCH(F293,Bezugspunkte!$A:$A,0)),INDEX(Bezugspunkte!$F:$F,MATCH(F293,Bezugspunkte!$A:$A,0)))</f>
        <v>6.58</v>
      </c>
      <c r="K293" s="10" t="n">
        <f aca="false">J293-H293</f>
        <v>3.642</v>
      </c>
      <c r="L293" s="10" t="n">
        <f aca="false">IF(AND(F293=F292,G293=G292),H293-H292,H293)</f>
        <v>0.599</v>
      </c>
      <c r="M293" s="10" t="n">
        <v>-17.268</v>
      </c>
      <c r="N293" s="10" t="n">
        <v>-2.938</v>
      </c>
    </row>
    <row r="294" customFormat="false" ht="15" hidden="false" customHeight="false" outlineLevel="0" collapsed="false">
      <c r="A294" s="9" t="n">
        <v>293</v>
      </c>
      <c r="B294" s="9" t="s">
        <v>408</v>
      </c>
      <c r="C294" s="9" t="s">
        <v>29</v>
      </c>
      <c r="D294" s="9" t="s">
        <v>208</v>
      </c>
      <c r="E294" s="9" t="s">
        <v>49</v>
      </c>
      <c r="F294" s="9" t="s">
        <v>405</v>
      </c>
      <c r="G294" s="9" t="s">
        <v>210</v>
      </c>
      <c r="H294" s="10" t="n">
        <v>5.942</v>
      </c>
      <c r="I294" s="9" t="str">
        <f aca="false">IF(OR(G294="links",G294="gegen UZS"),INDEX(Bezugspunkte!$C:$C,MATCH(F294,Bezugspunkte!$A:$A,0)),INDEX(Bezugspunkte!$E:$E,MATCH(F294,Bezugspunkte!$A:$A,0)))</f>
        <v>Q5-L</v>
      </c>
      <c r="J294" s="10" t="n">
        <f aca="false">IF(OR(G294="links",G294="gegen UZS"),INDEX(Bezugspunkte!$D:$D,MATCH(F294,Bezugspunkte!$A:$A,0)),INDEX(Bezugspunkte!$F:$F,MATCH(F294,Bezugspunkte!$A:$A,0)))</f>
        <v>6.58</v>
      </c>
      <c r="K294" s="10" t="n">
        <f aca="false">J294-H294</f>
        <v>0.638</v>
      </c>
      <c r="L294" s="10" t="n">
        <f aca="false">IF(AND(F294=F293,G294=G293),H294-H293,H294)</f>
        <v>3.004</v>
      </c>
      <c r="M294" s="10" t="n">
        <v>-17.268</v>
      </c>
      <c r="N294" s="10" t="n">
        <v>-5.942</v>
      </c>
    </row>
    <row r="295" customFormat="false" ht="15" hidden="false" customHeight="false" outlineLevel="0" collapsed="false">
      <c r="A295" s="9" t="n">
        <v>294</v>
      </c>
      <c r="B295" s="9" t="s">
        <v>409</v>
      </c>
      <c r="C295" s="9" t="s">
        <v>29</v>
      </c>
      <c r="D295" s="9" t="s">
        <v>208</v>
      </c>
      <c r="E295" s="9" t="s">
        <v>49</v>
      </c>
      <c r="F295" s="9" t="s">
        <v>405</v>
      </c>
      <c r="G295" s="9" t="s">
        <v>212</v>
      </c>
      <c r="H295" s="10" t="n">
        <v>0.059</v>
      </c>
      <c r="I295" s="9" t="str">
        <f aca="false">IF(OR(G295="links",G295="gegen UZS"),INDEX(Bezugspunkte!$C:$C,MATCH(F295,Bezugspunkte!$A:$A,0)),INDEX(Bezugspunkte!$E:$E,MATCH(F295,Bezugspunkte!$A:$A,0)))</f>
        <v>Q3-L</v>
      </c>
      <c r="J295" s="10" t="n">
        <f aca="false">IF(OR(G295="links",G295="gegen UZS"),INDEX(Bezugspunkte!$D:$D,MATCH(F295,Bezugspunkte!$A:$A,0)),INDEX(Bezugspunkte!$F:$F,MATCH(F295,Bezugspunkte!$A:$A,0)))</f>
        <v>6.646</v>
      </c>
      <c r="K295" s="10" t="n">
        <f aca="false">J295-H295</f>
        <v>6.587</v>
      </c>
      <c r="L295" s="10" t="n">
        <f aca="false">IF(AND(F295=F294,G295=G294),H295-H294,H295)</f>
        <v>0.059</v>
      </c>
      <c r="M295" s="10" t="n">
        <v>-17.268</v>
      </c>
      <c r="N295" s="10" t="n">
        <v>0.059</v>
      </c>
    </row>
    <row r="296" customFormat="false" ht="15" hidden="false" customHeight="false" outlineLevel="0" collapsed="false">
      <c r="A296" s="9" t="n">
        <v>295</v>
      </c>
      <c r="B296" s="9" t="s">
        <v>410</v>
      </c>
      <c r="C296" s="9" t="s">
        <v>31</v>
      </c>
      <c r="D296" s="9" t="s">
        <v>89</v>
      </c>
      <c r="E296" s="9" t="s">
        <v>49</v>
      </c>
      <c r="F296" s="9" t="s">
        <v>405</v>
      </c>
      <c r="G296" s="9" t="s">
        <v>212</v>
      </c>
      <c r="H296" s="10" t="n">
        <v>0.757</v>
      </c>
      <c r="I296" s="9" t="str">
        <f aca="false">IF(OR(G296="links",G296="gegen UZS"),INDEX(Bezugspunkte!$C:$C,MATCH(F296,Bezugspunkte!$A:$A,0)),INDEX(Bezugspunkte!$E:$E,MATCH(F296,Bezugspunkte!$A:$A,0)))</f>
        <v>Q3-L</v>
      </c>
      <c r="J296" s="10" t="n">
        <f aca="false">IF(OR(G296="links",G296="gegen UZS"),INDEX(Bezugspunkte!$D:$D,MATCH(F296,Bezugspunkte!$A:$A,0)),INDEX(Bezugspunkte!$F:$F,MATCH(F296,Bezugspunkte!$A:$A,0)))</f>
        <v>6.646</v>
      </c>
      <c r="K296" s="10" t="n">
        <f aca="false">J296-H296</f>
        <v>5.889</v>
      </c>
      <c r="L296" s="10" t="n">
        <f aca="false">IF(AND(F296=F295,G296=G295),H296-H295,H296)</f>
        <v>0.698</v>
      </c>
      <c r="M296" s="10" t="n">
        <v>-16.816</v>
      </c>
      <c r="N296" s="10" t="n">
        <v>0.757</v>
      </c>
    </row>
    <row r="297" customFormat="false" ht="15" hidden="false" customHeight="false" outlineLevel="0" collapsed="false">
      <c r="A297" s="9" t="n">
        <v>296</v>
      </c>
      <c r="B297" s="9" t="s">
        <v>411</v>
      </c>
      <c r="C297" s="9" t="s">
        <v>31</v>
      </c>
      <c r="D297" s="9" t="s">
        <v>89</v>
      </c>
      <c r="E297" s="9" t="s">
        <v>49</v>
      </c>
      <c r="F297" s="9" t="s">
        <v>405</v>
      </c>
      <c r="G297" s="9" t="s">
        <v>212</v>
      </c>
      <c r="H297" s="10" t="n">
        <v>2.456</v>
      </c>
      <c r="I297" s="9" t="str">
        <f aca="false">IF(OR(G297="links",G297="gegen UZS"),INDEX(Bezugspunkte!$C:$C,MATCH(F297,Bezugspunkte!$A:$A,0)),INDEX(Bezugspunkte!$E:$E,MATCH(F297,Bezugspunkte!$A:$A,0)))</f>
        <v>Q3-L</v>
      </c>
      <c r="J297" s="10" t="n">
        <f aca="false">IF(OR(G297="links",G297="gegen UZS"),INDEX(Bezugspunkte!$D:$D,MATCH(F297,Bezugspunkte!$A:$A,0)),INDEX(Bezugspunkte!$F:$F,MATCH(F297,Bezugspunkte!$A:$A,0)))</f>
        <v>6.646</v>
      </c>
      <c r="K297" s="10" t="n">
        <f aca="false">J297-H297</f>
        <v>4.19</v>
      </c>
      <c r="L297" s="10" t="n">
        <f aca="false">IF(AND(F297=F296,G297=G296),H297-H296,H297)</f>
        <v>1.699</v>
      </c>
      <c r="M297" s="10" t="n">
        <v>-16.816</v>
      </c>
      <c r="N297" s="10" t="n">
        <v>2.456</v>
      </c>
    </row>
    <row r="298" customFormat="false" ht="15" hidden="false" customHeight="false" outlineLevel="0" collapsed="false">
      <c r="A298" s="9" t="n">
        <v>297</v>
      </c>
      <c r="B298" s="9" t="s">
        <v>412</v>
      </c>
      <c r="C298" s="9" t="s">
        <v>29</v>
      </c>
      <c r="D298" s="9" t="s">
        <v>208</v>
      </c>
      <c r="E298" s="9" t="s">
        <v>49</v>
      </c>
      <c r="F298" s="9" t="s">
        <v>405</v>
      </c>
      <c r="G298" s="9" t="s">
        <v>212</v>
      </c>
      <c r="H298" s="10" t="n">
        <v>3.055</v>
      </c>
      <c r="I298" s="9" t="str">
        <f aca="false">IF(OR(G298="links",G298="gegen UZS"),INDEX(Bezugspunkte!$C:$C,MATCH(F298,Bezugspunkte!$A:$A,0)),INDEX(Bezugspunkte!$E:$E,MATCH(F298,Bezugspunkte!$A:$A,0)))</f>
        <v>Q3-L</v>
      </c>
      <c r="J298" s="10" t="n">
        <f aca="false">IF(OR(G298="links",G298="gegen UZS"),INDEX(Bezugspunkte!$D:$D,MATCH(F298,Bezugspunkte!$A:$A,0)),INDEX(Bezugspunkte!$F:$F,MATCH(F298,Bezugspunkte!$A:$A,0)))</f>
        <v>6.646</v>
      </c>
      <c r="K298" s="10" t="n">
        <f aca="false">J298-H298</f>
        <v>3.591</v>
      </c>
      <c r="L298" s="10" t="n">
        <f aca="false">IF(AND(F298=F297,G298=G297),H298-H297,H298)</f>
        <v>0.599</v>
      </c>
      <c r="M298" s="10" t="n">
        <v>-17.268</v>
      </c>
      <c r="N298" s="10" t="n">
        <v>3.055</v>
      </c>
    </row>
    <row r="299" customFormat="false" ht="15" hidden="false" customHeight="false" outlineLevel="0" collapsed="false">
      <c r="A299" s="9" t="n">
        <v>298</v>
      </c>
      <c r="B299" s="9" t="s">
        <v>413</v>
      </c>
      <c r="C299" s="9" t="s">
        <v>29</v>
      </c>
      <c r="D299" s="9" t="s">
        <v>208</v>
      </c>
      <c r="E299" s="9" t="s">
        <v>49</v>
      </c>
      <c r="F299" s="9" t="s">
        <v>405</v>
      </c>
      <c r="G299" s="9" t="s">
        <v>212</v>
      </c>
      <c r="H299" s="10" t="n">
        <v>6.052</v>
      </c>
      <c r="I299" s="9" t="str">
        <f aca="false">IF(OR(G299="links",G299="gegen UZS"),INDEX(Bezugspunkte!$C:$C,MATCH(F299,Bezugspunkte!$A:$A,0)),INDEX(Bezugspunkte!$E:$E,MATCH(F299,Bezugspunkte!$A:$A,0)))</f>
        <v>Q3-L</v>
      </c>
      <c r="J299" s="10" t="n">
        <f aca="false">IF(OR(G299="links",G299="gegen UZS"),INDEX(Bezugspunkte!$D:$D,MATCH(F299,Bezugspunkte!$A:$A,0)),INDEX(Bezugspunkte!$F:$F,MATCH(F299,Bezugspunkte!$A:$A,0)))</f>
        <v>6.646</v>
      </c>
      <c r="K299" s="10" t="n">
        <f aca="false">J299-H299</f>
        <v>0.594</v>
      </c>
      <c r="L299" s="10" t="n">
        <f aca="false">IF(AND(F299=F298,G299=G298),H299-H298,H299)</f>
        <v>2.997</v>
      </c>
      <c r="M299" s="10" t="n">
        <v>-17.268</v>
      </c>
      <c r="N299" s="10" t="n">
        <v>6.052</v>
      </c>
    </row>
    <row r="300" customFormat="false" ht="15" hidden="false" customHeight="false" outlineLevel="0" collapsed="false">
      <c r="A300" s="9" t="n">
        <v>299</v>
      </c>
      <c r="B300" s="9" t="s">
        <v>414</v>
      </c>
      <c r="C300" s="9" t="s">
        <v>29</v>
      </c>
      <c r="D300" s="9" t="s">
        <v>208</v>
      </c>
      <c r="E300" s="9" t="s">
        <v>49</v>
      </c>
      <c r="F300" s="9" t="s">
        <v>415</v>
      </c>
      <c r="G300" s="9" t="s">
        <v>210</v>
      </c>
      <c r="H300" s="10" t="n">
        <v>1.041</v>
      </c>
      <c r="I300" s="9" t="str">
        <f aca="false">IF(OR(G300="links",G300="gegen UZS"),INDEX(Bezugspunkte!$C:$C,MATCH(F300,Bezugspunkte!$A:$A,0)),INDEX(Bezugspunkte!$E:$E,MATCH(F300,Bezugspunkte!$A:$A,0)))</f>
        <v>Q3-L</v>
      </c>
      <c r="J300" s="10" t="n">
        <f aca="false">IF(OR(G300="links",G300="gegen UZS"),INDEX(Bezugspunkte!$D:$D,MATCH(F300,Bezugspunkte!$A:$A,0)),INDEX(Bezugspunkte!$F:$F,MATCH(F300,Bezugspunkte!$A:$A,0)))</f>
        <v>15.436</v>
      </c>
      <c r="K300" s="10" t="n">
        <f aca="false">J300-H300</f>
        <v>14.395</v>
      </c>
      <c r="L300" s="10" t="n">
        <f aca="false">IF(AND(F300=F299,G300=G299),H300-H299,H300)</f>
        <v>1.041</v>
      </c>
      <c r="M300" s="10" t="n">
        <v>-17.268</v>
      </c>
      <c r="N300" s="10" t="n">
        <v>21.043</v>
      </c>
    </row>
    <row r="301" customFormat="false" ht="15" hidden="false" customHeight="false" outlineLevel="0" collapsed="false">
      <c r="A301" s="9" t="n">
        <v>300</v>
      </c>
      <c r="B301" s="9" t="s">
        <v>416</v>
      </c>
      <c r="C301" s="9" t="s">
        <v>31</v>
      </c>
      <c r="D301" s="9" t="s">
        <v>89</v>
      </c>
      <c r="E301" s="9" t="s">
        <v>49</v>
      </c>
      <c r="F301" s="9" t="s">
        <v>415</v>
      </c>
      <c r="G301" s="9" t="s">
        <v>210</v>
      </c>
      <c r="H301" s="10" t="n">
        <v>1.835</v>
      </c>
      <c r="I301" s="9" t="str">
        <f aca="false">IF(OR(G301="links",G301="gegen UZS"),INDEX(Bezugspunkte!$C:$C,MATCH(F301,Bezugspunkte!$A:$A,0)),INDEX(Bezugspunkte!$E:$E,MATCH(F301,Bezugspunkte!$A:$A,0)))</f>
        <v>Q3-L</v>
      </c>
      <c r="J301" s="10" t="n">
        <f aca="false">IF(OR(G301="links",G301="gegen UZS"),INDEX(Bezugspunkte!$D:$D,MATCH(F301,Bezugspunkte!$A:$A,0)),INDEX(Bezugspunkte!$F:$F,MATCH(F301,Bezugspunkte!$A:$A,0)))</f>
        <v>15.436</v>
      </c>
      <c r="K301" s="10" t="n">
        <f aca="false">J301-H301</f>
        <v>13.601</v>
      </c>
      <c r="L301" s="10" t="n">
        <f aca="false">IF(AND(F301=F300,G301=G300),H301-H300,H301)</f>
        <v>0.794</v>
      </c>
      <c r="M301" s="10" t="n">
        <v>-16.816</v>
      </c>
      <c r="N301" s="10" t="n">
        <v>20.246</v>
      </c>
    </row>
    <row r="302" customFormat="false" ht="15" hidden="false" customHeight="false" outlineLevel="0" collapsed="false">
      <c r="A302" s="9" t="n">
        <v>301</v>
      </c>
      <c r="B302" s="9" t="s">
        <v>417</v>
      </c>
      <c r="C302" s="9" t="s">
        <v>29</v>
      </c>
      <c r="D302" s="9" t="s">
        <v>208</v>
      </c>
      <c r="E302" s="9" t="s">
        <v>49</v>
      </c>
      <c r="F302" s="9" t="s">
        <v>415</v>
      </c>
      <c r="G302" s="9" t="s">
        <v>210</v>
      </c>
      <c r="H302" s="10" t="n">
        <v>4.037</v>
      </c>
      <c r="I302" s="9" t="str">
        <f aca="false">IF(OR(G302="links",G302="gegen UZS"),INDEX(Bezugspunkte!$C:$C,MATCH(F302,Bezugspunkte!$A:$A,0)),INDEX(Bezugspunkte!$E:$E,MATCH(F302,Bezugspunkte!$A:$A,0)))</f>
        <v>Q3-L</v>
      </c>
      <c r="J302" s="10" t="n">
        <f aca="false">IF(OR(G302="links",G302="gegen UZS"),INDEX(Bezugspunkte!$D:$D,MATCH(F302,Bezugspunkte!$A:$A,0)),INDEX(Bezugspunkte!$F:$F,MATCH(F302,Bezugspunkte!$A:$A,0)))</f>
        <v>15.436</v>
      </c>
      <c r="K302" s="10" t="n">
        <f aca="false">J302-H302</f>
        <v>11.399</v>
      </c>
      <c r="L302" s="10" t="n">
        <f aca="false">IF(AND(F302=F301,G302=G301),H302-H301,H302)</f>
        <v>2.202</v>
      </c>
      <c r="M302" s="10" t="n">
        <v>-17.268</v>
      </c>
      <c r="N302" s="10" t="n">
        <v>18.046</v>
      </c>
    </row>
    <row r="303" customFormat="false" ht="15" hidden="false" customHeight="false" outlineLevel="0" collapsed="false">
      <c r="A303" s="9" t="n">
        <v>302</v>
      </c>
      <c r="B303" s="9" t="s">
        <v>418</v>
      </c>
      <c r="C303" s="9" t="s">
        <v>31</v>
      </c>
      <c r="D303" s="9" t="s">
        <v>89</v>
      </c>
      <c r="E303" s="9" t="s">
        <v>49</v>
      </c>
      <c r="F303" s="9" t="s">
        <v>415</v>
      </c>
      <c r="G303" s="9" t="s">
        <v>210</v>
      </c>
      <c r="H303" s="10" t="n">
        <v>6.334</v>
      </c>
      <c r="I303" s="9" t="str">
        <f aca="false">IF(OR(G303="links",G303="gegen UZS"),INDEX(Bezugspunkte!$C:$C,MATCH(F303,Bezugspunkte!$A:$A,0)),INDEX(Bezugspunkte!$E:$E,MATCH(F303,Bezugspunkte!$A:$A,0)))</f>
        <v>Q3-L</v>
      </c>
      <c r="J303" s="10" t="n">
        <f aca="false">IF(OR(G303="links",G303="gegen UZS"),INDEX(Bezugspunkte!$D:$D,MATCH(F303,Bezugspunkte!$A:$A,0)),INDEX(Bezugspunkte!$F:$F,MATCH(F303,Bezugspunkte!$A:$A,0)))</f>
        <v>15.436</v>
      </c>
      <c r="K303" s="10" t="n">
        <f aca="false">J303-H303</f>
        <v>9.102</v>
      </c>
      <c r="L303" s="10" t="n">
        <f aca="false">IF(AND(F303=F302,G303=G302),H303-H302,H303)</f>
        <v>2.297</v>
      </c>
      <c r="M303" s="10" t="n">
        <v>-16.816</v>
      </c>
      <c r="N303" s="10" t="n">
        <v>15.747</v>
      </c>
    </row>
    <row r="304" customFormat="false" ht="15" hidden="false" customHeight="false" outlineLevel="0" collapsed="false">
      <c r="A304" s="9" t="n">
        <v>303</v>
      </c>
      <c r="B304" s="9" t="s">
        <v>419</v>
      </c>
      <c r="C304" s="9" t="s">
        <v>29</v>
      </c>
      <c r="D304" s="9" t="s">
        <v>208</v>
      </c>
      <c r="E304" s="9" t="s">
        <v>49</v>
      </c>
      <c r="F304" s="9" t="s">
        <v>415</v>
      </c>
      <c r="G304" s="9" t="s">
        <v>210</v>
      </c>
      <c r="H304" s="10" t="n">
        <v>7.034</v>
      </c>
      <c r="I304" s="9" t="str">
        <f aca="false">IF(OR(G304="links",G304="gegen UZS"),INDEX(Bezugspunkte!$C:$C,MATCH(F304,Bezugspunkte!$A:$A,0)),INDEX(Bezugspunkte!$E:$E,MATCH(F304,Bezugspunkte!$A:$A,0)))</f>
        <v>Q3-L</v>
      </c>
      <c r="J304" s="10" t="n">
        <f aca="false">IF(OR(G304="links",G304="gegen UZS"),INDEX(Bezugspunkte!$D:$D,MATCH(F304,Bezugspunkte!$A:$A,0)),INDEX(Bezugspunkte!$F:$F,MATCH(F304,Bezugspunkte!$A:$A,0)))</f>
        <v>15.436</v>
      </c>
      <c r="K304" s="10" t="n">
        <f aca="false">J304-H304</f>
        <v>8.402</v>
      </c>
      <c r="L304" s="10" t="n">
        <f aca="false">IF(AND(F304=F303,G304=G303),H304-H303,H304)</f>
        <v>0.7</v>
      </c>
      <c r="M304" s="10" t="n">
        <v>-17.268</v>
      </c>
      <c r="N304" s="10" t="n">
        <v>15.049</v>
      </c>
    </row>
    <row r="305" customFormat="false" ht="15" hidden="false" customHeight="false" outlineLevel="0" collapsed="false">
      <c r="A305" s="9" t="n">
        <v>304</v>
      </c>
      <c r="B305" s="9" t="s">
        <v>420</v>
      </c>
      <c r="C305" s="9" t="s">
        <v>31</v>
      </c>
      <c r="D305" s="9" t="s">
        <v>89</v>
      </c>
      <c r="E305" s="9" t="s">
        <v>49</v>
      </c>
      <c r="F305" s="9" t="s">
        <v>415</v>
      </c>
      <c r="G305" s="9" t="s">
        <v>210</v>
      </c>
      <c r="H305" s="10" t="n">
        <v>9.33</v>
      </c>
      <c r="I305" s="9" t="str">
        <f aca="false">IF(OR(G305="links",G305="gegen UZS"),INDEX(Bezugspunkte!$C:$C,MATCH(F305,Bezugspunkte!$A:$A,0)),INDEX(Bezugspunkte!$E:$E,MATCH(F305,Bezugspunkte!$A:$A,0)))</f>
        <v>Q3-L</v>
      </c>
      <c r="J305" s="10" t="n">
        <f aca="false">IF(OR(G305="links",G305="gegen UZS"),INDEX(Bezugspunkte!$D:$D,MATCH(F305,Bezugspunkte!$A:$A,0)),INDEX(Bezugspunkte!$F:$F,MATCH(F305,Bezugspunkte!$A:$A,0)))</f>
        <v>15.436</v>
      </c>
      <c r="K305" s="10" t="n">
        <f aca="false">J305-H305</f>
        <v>6.106</v>
      </c>
      <c r="L305" s="10" t="n">
        <f aca="false">IF(AND(F305=F304,G305=G304),H305-H304,H305)</f>
        <v>2.296</v>
      </c>
      <c r="M305" s="10" t="n">
        <v>-16.816</v>
      </c>
      <c r="N305" s="10" t="n">
        <v>12.751</v>
      </c>
    </row>
    <row r="306" customFormat="false" ht="15" hidden="false" customHeight="false" outlineLevel="0" collapsed="false">
      <c r="A306" s="9" t="n">
        <v>305</v>
      </c>
      <c r="B306" s="9" t="s">
        <v>421</v>
      </c>
      <c r="C306" s="9" t="s">
        <v>29</v>
      </c>
      <c r="D306" s="9" t="s">
        <v>208</v>
      </c>
      <c r="E306" s="9" t="s">
        <v>49</v>
      </c>
      <c r="F306" s="9" t="s">
        <v>415</v>
      </c>
      <c r="G306" s="9" t="s">
        <v>210</v>
      </c>
      <c r="H306" s="10" t="n">
        <v>10.031</v>
      </c>
      <c r="I306" s="9" t="str">
        <f aca="false">IF(OR(G306="links",G306="gegen UZS"),INDEX(Bezugspunkte!$C:$C,MATCH(F306,Bezugspunkte!$A:$A,0)),INDEX(Bezugspunkte!$E:$E,MATCH(F306,Bezugspunkte!$A:$A,0)))</f>
        <v>Q3-L</v>
      </c>
      <c r="J306" s="10" t="n">
        <f aca="false">IF(OR(G306="links",G306="gegen UZS"),INDEX(Bezugspunkte!$D:$D,MATCH(F306,Bezugspunkte!$A:$A,0)),INDEX(Bezugspunkte!$F:$F,MATCH(F306,Bezugspunkte!$A:$A,0)))</f>
        <v>15.436</v>
      </c>
      <c r="K306" s="10" t="n">
        <f aca="false">J306-H306</f>
        <v>5.405</v>
      </c>
      <c r="L306" s="10" t="n">
        <f aca="false">IF(AND(F306=F305,G306=G305),H306-H305,H306)</f>
        <v>0.701000000000001</v>
      </c>
      <c r="M306" s="10" t="n">
        <v>-17.268</v>
      </c>
      <c r="N306" s="10" t="n">
        <v>12.053</v>
      </c>
    </row>
    <row r="307" customFormat="false" ht="15" hidden="false" customHeight="false" outlineLevel="0" collapsed="false">
      <c r="A307" s="9" t="n">
        <v>306</v>
      </c>
      <c r="B307" s="9" t="s">
        <v>422</v>
      </c>
      <c r="C307" s="9" t="s">
        <v>31</v>
      </c>
      <c r="D307" s="9" t="s">
        <v>89</v>
      </c>
      <c r="E307" s="9" t="s">
        <v>49</v>
      </c>
      <c r="F307" s="9" t="s">
        <v>415</v>
      </c>
      <c r="G307" s="9" t="s">
        <v>210</v>
      </c>
      <c r="H307" s="10" t="n">
        <v>10.734</v>
      </c>
      <c r="I307" s="9" t="str">
        <f aca="false">IF(OR(G307="links",G307="gegen UZS"),INDEX(Bezugspunkte!$C:$C,MATCH(F307,Bezugspunkte!$A:$A,0)),INDEX(Bezugspunkte!$E:$E,MATCH(F307,Bezugspunkte!$A:$A,0)))</f>
        <v>Q3-L</v>
      </c>
      <c r="J307" s="10" t="n">
        <f aca="false">IF(OR(G307="links",G307="gegen UZS"),INDEX(Bezugspunkte!$D:$D,MATCH(F307,Bezugspunkte!$A:$A,0)),INDEX(Bezugspunkte!$F:$F,MATCH(F307,Bezugspunkte!$A:$A,0)))</f>
        <v>15.436</v>
      </c>
      <c r="K307" s="10" t="n">
        <f aca="false">J307-H307</f>
        <v>4.702</v>
      </c>
      <c r="L307" s="10" t="n">
        <f aca="false">IF(AND(F307=F306,G307=G306),H307-H306,H307)</f>
        <v>0.702999999999999</v>
      </c>
      <c r="M307" s="10" t="n">
        <v>-16.816</v>
      </c>
      <c r="N307" s="10" t="n">
        <v>11.347</v>
      </c>
    </row>
    <row r="308" customFormat="false" ht="15" hidden="false" customHeight="false" outlineLevel="0" collapsed="false">
      <c r="A308" s="9" t="n">
        <v>307</v>
      </c>
      <c r="B308" s="9" t="s">
        <v>423</v>
      </c>
      <c r="C308" s="9" t="s">
        <v>29</v>
      </c>
      <c r="D308" s="9" t="s">
        <v>208</v>
      </c>
      <c r="E308" s="9" t="s">
        <v>49</v>
      </c>
      <c r="F308" s="9" t="s">
        <v>415</v>
      </c>
      <c r="G308" s="9" t="s">
        <v>210</v>
      </c>
      <c r="H308" s="10" t="n">
        <v>13.034</v>
      </c>
      <c r="I308" s="9" t="str">
        <f aca="false">IF(OR(G308="links",G308="gegen UZS"),INDEX(Bezugspunkte!$C:$C,MATCH(F308,Bezugspunkte!$A:$A,0)),INDEX(Bezugspunkte!$E:$E,MATCH(F308,Bezugspunkte!$A:$A,0)))</f>
        <v>Q3-L</v>
      </c>
      <c r="J308" s="10" t="n">
        <f aca="false">IF(OR(G308="links",G308="gegen UZS"),INDEX(Bezugspunkte!$D:$D,MATCH(F308,Bezugspunkte!$A:$A,0)),INDEX(Bezugspunkte!$F:$F,MATCH(F308,Bezugspunkte!$A:$A,0)))</f>
        <v>15.436</v>
      </c>
      <c r="K308" s="10" t="n">
        <f aca="false">J308-H308</f>
        <v>2.402</v>
      </c>
      <c r="L308" s="10" t="n">
        <f aca="false">IF(AND(F308=F307,G308=G307),H308-H307,H308)</f>
        <v>2.3</v>
      </c>
      <c r="M308" s="10" t="n">
        <v>-17.268</v>
      </c>
      <c r="N308" s="10" t="n">
        <v>9.049</v>
      </c>
    </row>
    <row r="309" customFormat="false" ht="15" hidden="false" customHeight="false" outlineLevel="0" collapsed="false">
      <c r="A309" s="9" t="n">
        <v>308</v>
      </c>
      <c r="B309" s="9" t="s">
        <v>424</v>
      </c>
      <c r="C309" s="9" t="s">
        <v>29</v>
      </c>
      <c r="D309" s="9" t="s">
        <v>208</v>
      </c>
      <c r="E309" s="9" t="s">
        <v>49</v>
      </c>
      <c r="F309" s="9" t="s">
        <v>415</v>
      </c>
      <c r="G309" s="9" t="s">
        <v>212</v>
      </c>
      <c r="H309" s="10" t="n">
        <v>1.744</v>
      </c>
      <c r="I309" s="9" t="str">
        <f aca="false">IF(OR(G309="links",G309="gegen UZS"),INDEX(Bezugspunkte!$C:$C,MATCH(F309,Bezugspunkte!$A:$A,0)),INDEX(Bezugspunkte!$E:$E,MATCH(F309,Bezugspunkte!$A:$A,0)))</f>
        <v>KI17</v>
      </c>
      <c r="J309" s="10" t="n">
        <f aca="false">IF(OR(G309="links",G309="gegen UZS"),INDEX(Bezugspunkte!$D:$D,MATCH(F309,Bezugspunkte!$A:$A,0)),INDEX(Bezugspunkte!$F:$F,MATCH(F309,Bezugspunkte!$A:$A,0)))</f>
        <v>7.197</v>
      </c>
      <c r="K309" s="10" t="n">
        <f aca="false">J309-H309</f>
        <v>5.453</v>
      </c>
      <c r="L309" s="10" t="n">
        <f aca="false">IF(AND(F309=F308,G309=G308),H309-H308,H309)</f>
        <v>1.744</v>
      </c>
      <c r="M309" s="10" t="n">
        <v>-17.014</v>
      </c>
      <c r="N309" s="10" t="n">
        <v>23.842</v>
      </c>
    </row>
    <row r="310" customFormat="false" ht="15" hidden="false" customHeight="false" outlineLevel="0" collapsed="false">
      <c r="A310" s="9" t="n">
        <v>309</v>
      </c>
      <c r="B310" s="9" t="s">
        <v>425</v>
      </c>
      <c r="C310" s="9" t="s">
        <v>29</v>
      </c>
      <c r="D310" s="9" t="s">
        <v>208</v>
      </c>
      <c r="E310" s="9" t="s">
        <v>49</v>
      </c>
      <c r="F310" s="9" t="s">
        <v>415</v>
      </c>
      <c r="G310" s="9" t="s">
        <v>212</v>
      </c>
      <c r="H310" s="10" t="n">
        <v>4.492</v>
      </c>
      <c r="I310" s="9" t="str">
        <f aca="false">IF(OR(G310="links",G310="gegen UZS"),INDEX(Bezugspunkte!$C:$C,MATCH(F310,Bezugspunkte!$A:$A,0)),INDEX(Bezugspunkte!$E:$E,MATCH(F310,Bezugspunkte!$A:$A,0)))</f>
        <v>KI17</v>
      </c>
      <c r="J310" s="10" t="n">
        <f aca="false">IF(OR(G310="links",G310="gegen UZS"),INDEX(Bezugspunkte!$D:$D,MATCH(F310,Bezugspunkte!$A:$A,0)),INDEX(Bezugspunkte!$F:$F,MATCH(F310,Bezugspunkte!$A:$A,0)))</f>
        <v>7.197</v>
      </c>
      <c r="K310" s="10" t="n">
        <f aca="false">J310-H310</f>
        <v>2.705</v>
      </c>
      <c r="L310" s="10" t="n">
        <f aca="false">IF(AND(F310=F309,G310=G309),H310-H309,H310)</f>
        <v>2.748</v>
      </c>
      <c r="M310" s="10" t="n">
        <v>-16.866</v>
      </c>
      <c r="N310" s="10" t="n">
        <v>26.592</v>
      </c>
    </row>
    <row r="311" customFormat="false" ht="15" hidden="false" customHeight="false" outlineLevel="0" collapsed="false">
      <c r="A311" s="9" t="n">
        <v>310</v>
      </c>
      <c r="B311" s="9" t="s">
        <v>426</v>
      </c>
      <c r="C311" s="9" t="s">
        <v>29</v>
      </c>
      <c r="D311" s="9" t="s">
        <v>208</v>
      </c>
      <c r="E311" s="9" t="s">
        <v>49</v>
      </c>
      <c r="F311" s="9" t="s">
        <v>427</v>
      </c>
      <c r="G311" s="9" t="s">
        <v>210</v>
      </c>
      <c r="H311" s="10" t="n">
        <v>1.754</v>
      </c>
      <c r="I311" s="9" t="str">
        <f aca="false">IF(OR(G311="links",G311="gegen UZS"),INDEX(Bezugspunkte!$C:$C,MATCH(F311,Bezugspunkte!$A:$A,0)),INDEX(Bezugspunkte!$E:$E,MATCH(F311,Bezugspunkte!$A:$A,0)))</f>
        <v>KI17</v>
      </c>
      <c r="J311" s="10" t="n">
        <f aca="false">IF(OR(G311="links",G311="gegen UZS"),INDEX(Bezugspunkte!$D:$D,MATCH(F311,Bezugspunkte!$A:$A,0)),INDEX(Bezugspunkte!$F:$F,MATCH(F311,Bezugspunkte!$A:$A,0)))</f>
        <v>4.541</v>
      </c>
      <c r="K311" s="10" t="n">
        <f aca="false">J311-H311</f>
        <v>2.787</v>
      </c>
      <c r="L311" s="10" t="n">
        <f aca="false">IF(AND(F311=F310,G311=G310),H311-H310,H311)</f>
        <v>1.754</v>
      </c>
      <c r="M311" s="10" t="n">
        <v>-15.611</v>
      </c>
      <c r="N311" s="10" t="n">
        <v>32.007</v>
      </c>
    </row>
    <row r="312" customFormat="false" ht="15" hidden="false" customHeight="false" outlineLevel="0" collapsed="false">
      <c r="A312" s="9" t="n">
        <v>311</v>
      </c>
      <c r="B312" s="9" t="s">
        <v>428</v>
      </c>
      <c r="C312" s="9" t="s">
        <v>29</v>
      </c>
      <c r="D312" s="9" t="s">
        <v>208</v>
      </c>
      <c r="E312" s="9" t="s">
        <v>49</v>
      </c>
      <c r="F312" s="9" t="s">
        <v>427</v>
      </c>
      <c r="G312" s="9" t="s">
        <v>210</v>
      </c>
      <c r="H312" s="10" t="n">
        <v>4.532</v>
      </c>
      <c r="I312" s="9" t="str">
        <f aca="false">IF(OR(G312="links",G312="gegen UZS"),INDEX(Bezugspunkte!$C:$C,MATCH(F312,Bezugspunkte!$A:$A,0)),INDEX(Bezugspunkte!$E:$E,MATCH(F312,Bezugspunkte!$A:$A,0)))</f>
        <v>KI17</v>
      </c>
      <c r="J312" s="10" t="n">
        <f aca="false">IF(OR(G312="links",G312="gegen UZS"),INDEX(Bezugspunkte!$D:$D,MATCH(F312,Bezugspunkte!$A:$A,0)),INDEX(Bezugspunkte!$F:$F,MATCH(F312,Bezugspunkte!$A:$A,0)))</f>
        <v>4.541</v>
      </c>
      <c r="K312" s="10" t="n">
        <f aca="false">J312-H312</f>
        <v>0.00900000000000034</v>
      </c>
      <c r="L312" s="10" t="n">
        <f aca="false">IF(AND(F312=F311,G312=G311),H312-H311,H312)</f>
        <v>2.778</v>
      </c>
      <c r="M312" s="10" t="n">
        <v>-16.414</v>
      </c>
      <c r="N312" s="10" t="n">
        <v>29.342</v>
      </c>
    </row>
    <row r="313" customFormat="false" ht="15" hidden="false" customHeight="false" outlineLevel="0" collapsed="false">
      <c r="A313" s="9" t="n">
        <v>312</v>
      </c>
      <c r="B313" s="9" t="s">
        <v>429</v>
      </c>
      <c r="C313" s="9" t="s">
        <v>29</v>
      </c>
      <c r="D313" s="9" t="s">
        <v>208</v>
      </c>
      <c r="E313" s="9" t="s">
        <v>49</v>
      </c>
      <c r="F313" s="9" t="s">
        <v>427</v>
      </c>
      <c r="G313" s="9" t="s">
        <v>212</v>
      </c>
      <c r="H313" s="10" t="n">
        <v>0.986</v>
      </c>
      <c r="I313" s="9" t="str">
        <f aca="false">IF(OR(G313="links",G313="gegen UZS"),INDEX(Bezugspunkte!$C:$C,MATCH(F313,Bezugspunkte!$A:$A,0)),INDEX(Bezugspunkte!$E:$E,MATCH(F313,Bezugspunkte!$A:$A,0)))</f>
        <v>KI18</v>
      </c>
      <c r="J313" s="10" t="n">
        <f aca="false">IF(OR(G313="links",G313="gegen UZS"),INDEX(Bezugspunkte!$D:$D,MATCH(F313,Bezugspunkte!$A:$A,0)),INDEX(Bezugspunkte!$F:$F,MATCH(F313,Bezugspunkte!$A:$A,0)))</f>
        <v>2.898</v>
      </c>
      <c r="K313" s="10" t="n">
        <f aca="false">J313-H313</f>
        <v>1.912</v>
      </c>
      <c r="L313" s="10" t="n">
        <f aca="false">IF(AND(F313=F312,G313=G312),H313-H312,H313)</f>
        <v>0.986</v>
      </c>
      <c r="M313" s="10" t="n">
        <v>-14.567</v>
      </c>
      <c r="N313" s="10" t="n">
        <v>34.539</v>
      </c>
    </row>
    <row r="314" customFormat="false" ht="15" hidden="false" customHeight="false" outlineLevel="0" collapsed="false">
      <c r="A314" s="9" t="n">
        <v>313</v>
      </c>
      <c r="B314" s="9" t="s">
        <v>430</v>
      </c>
      <c r="C314" s="9" t="s">
        <v>29</v>
      </c>
      <c r="D314" s="9" t="s">
        <v>208</v>
      </c>
      <c r="E314" s="9" t="s">
        <v>49</v>
      </c>
      <c r="F314" s="9" t="s">
        <v>431</v>
      </c>
      <c r="G314" s="9" t="s">
        <v>210</v>
      </c>
      <c r="H314" s="10" t="n">
        <v>0.361</v>
      </c>
      <c r="I314" s="9" t="str">
        <f aca="false">IF(OR(G314="links",G314="gegen UZS"),INDEX(Bezugspunkte!$C:$C,MATCH(F314,Bezugspunkte!$A:$A,0)),INDEX(Bezugspunkte!$E:$E,MATCH(F314,Bezugspunkte!$A:$A,0)))</f>
        <v>KI18</v>
      </c>
      <c r="J314" s="10" t="n">
        <f aca="false">IF(OR(G314="links",G314="gegen UZS"),INDEX(Bezugspunkte!$D:$D,MATCH(F314,Bezugspunkte!$A:$A,0)),INDEX(Bezugspunkte!$F:$F,MATCH(F314,Bezugspunkte!$A:$A,0)))</f>
        <v>6.584</v>
      </c>
      <c r="K314" s="10" t="n">
        <f aca="false">J314-H314</f>
        <v>6.223</v>
      </c>
      <c r="L314" s="10" t="n">
        <f aca="false">IF(AND(F314=F313,G314=G313),H314-H313,H314)</f>
        <v>0.361</v>
      </c>
      <c r="M314" s="10" t="n">
        <v>-9.124</v>
      </c>
      <c r="N314" s="10" t="n">
        <v>40.581</v>
      </c>
    </row>
    <row r="315" customFormat="false" ht="15" hidden="false" customHeight="false" outlineLevel="0" collapsed="false">
      <c r="A315" s="9" t="n">
        <v>314</v>
      </c>
      <c r="B315" s="9" t="s">
        <v>432</v>
      </c>
      <c r="C315" s="9" t="s">
        <v>29</v>
      </c>
      <c r="D315" s="9" t="s">
        <v>208</v>
      </c>
      <c r="E315" s="9" t="s">
        <v>49</v>
      </c>
      <c r="F315" s="9" t="s">
        <v>431</v>
      </c>
      <c r="G315" s="9" t="s">
        <v>210</v>
      </c>
      <c r="H315" s="10" t="n">
        <v>3.054</v>
      </c>
      <c r="I315" s="9" t="str">
        <f aca="false">IF(OR(G315="links",G315="gegen UZS"),INDEX(Bezugspunkte!$C:$C,MATCH(F315,Bezugspunkte!$A:$A,0)),INDEX(Bezugspunkte!$E:$E,MATCH(F315,Bezugspunkte!$A:$A,0)))</f>
        <v>KI18</v>
      </c>
      <c r="J315" s="10" t="n">
        <f aca="false">IF(OR(G315="links",G315="gegen UZS"),INDEX(Bezugspunkte!$D:$D,MATCH(F315,Bezugspunkte!$A:$A,0)),INDEX(Bezugspunkte!$F:$F,MATCH(F315,Bezugspunkte!$A:$A,0)))</f>
        <v>6.584</v>
      </c>
      <c r="K315" s="10" t="n">
        <f aca="false">J315-H315</f>
        <v>3.53</v>
      </c>
      <c r="L315" s="10" t="n">
        <f aca="false">IF(AND(F315=F314,G315=G314),H315-H314,H315)</f>
        <v>2.693</v>
      </c>
      <c r="M315" s="10" t="n">
        <v>-11.267</v>
      </c>
      <c r="N315" s="10" t="n">
        <v>38.931</v>
      </c>
    </row>
    <row r="316" customFormat="false" ht="15" hidden="false" customHeight="false" outlineLevel="0" collapsed="false">
      <c r="A316" s="9" t="n">
        <v>315</v>
      </c>
      <c r="B316" s="9" t="s">
        <v>433</v>
      </c>
      <c r="C316" s="9" t="s">
        <v>29</v>
      </c>
      <c r="D316" s="9" t="s">
        <v>208</v>
      </c>
      <c r="E316" s="9" t="s">
        <v>49</v>
      </c>
      <c r="F316" s="9" t="s">
        <v>431</v>
      </c>
      <c r="G316" s="9" t="s">
        <v>210</v>
      </c>
      <c r="H316" s="10" t="n">
        <v>5.833</v>
      </c>
      <c r="I316" s="9" t="str">
        <f aca="false">IF(OR(G316="links",G316="gegen UZS"),INDEX(Bezugspunkte!$C:$C,MATCH(F316,Bezugspunkte!$A:$A,0)),INDEX(Bezugspunkte!$E:$E,MATCH(F316,Bezugspunkte!$A:$A,0)))</f>
        <v>KI18</v>
      </c>
      <c r="J316" s="10" t="n">
        <f aca="false">IF(OR(G316="links",G316="gegen UZS"),INDEX(Bezugspunkte!$D:$D,MATCH(F316,Bezugspunkte!$A:$A,0)),INDEX(Bezugspunkte!$F:$F,MATCH(F316,Bezugspunkte!$A:$A,0)))</f>
        <v>6.584</v>
      </c>
      <c r="K316" s="10" t="n">
        <f aca="false">J316-H316</f>
        <v>0.750999999999999</v>
      </c>
      <c r="L316" s="10" t="n">
        <f aca="false">IF(AND(F316=F315,G316=G315),H316-H315,H316)</f>
        <v>2.779</v>
      </c>
      <c r="M316" s="10" t="n">
        <v>-13.114</v>
      </c>
      <c r="N316" s="10" t="n">
        <v>36.837</v>
      </c>
    </row>
    <row r="317" customFormat="false" ht="15" hidden="false" customHeight="false" outlineLevel="0" collapsed="false">
      <c r="A317" s="9" t="n">
        <v>316</v>
      </c>
      <c r="B317" s="9" t="s">
        <v>434</v>
      </c>
      <c r="C317" s="9" t="s">
        <v>29</v>
      </c>
      <c r="D317" s="9" t="s">
        <v>208</v>
      </c>
      <c r="E317" s="9" t="s">
        <v>49</v>
      </c>
      <c r="F317" s="9" t="s">
        <v>431</v>
      </c>
      <c r="G317" s="9" t="s">
        <v>212</v>
      </c>
      <c r="H317" s="10" t="n">
        <v>2.355</v>
      </c>
      <c r="I317" s="9" t="str">
        <f aca="false">IF(OR(G317="links",G317="gegen UZS"),INDEX(Bezugspunkte!$C:$C,MATCH(F317,Bezugspunkte!$A:$A,0)),INDEX(Bezugspunkte!$E:$E,MATCH(F317,Bezugspunkte!$A:$A,0)))</f>
        <v>KI20</v>
      </c>
      <c r="J317" s="10" t="n">
        <f aca="false">IF(OR(G317="links",G317="gegen UZS"),INDEX(Bezugspunkte!$D:$D,MATCH(F317,Bezugspunkte!$A:$A,0)),INDEX(Bezugspunkte!$F:$F,MATCH(F317,Bezugspunkte!$A:$A,0)))</f>
        <v>6.486</v>
      </c>
      <c r="K317" s="10" t="n">
        <f aca="false">J317-H317</f>
        <v>4.131</v>
      </c>
      <c r="L317" s="10" t="n">
        <f aca="false">IF(AND(F317=F316,G317=G316),H317-H316,H317)</f>
        <v>2.355</v>
      </c>
      <c r="M317" s="10" t="n">
        <v>-6.698</v>
      </c>
      <c r="N317" s="10" t="n">
        <v>41.942</v>
      </c>
    </row>
    <row r="318" customFormat="false" ht="15" hidden="false" customHeight="false" outlineLevel="0" collapsed="false">
      <c r="A318" s="9" t="n">
        <v>317</v>
      </c>
      <c r="B318" s="9" t="s">
        <v>435</v>
      </c>
      <c r="C318" s="9" t="s">
        <v>29</v>
      </c>
      <c r="D318" s="9" t="s">
        <v>208</v>
      </c>
      <c r="E318" s="9" t="s">
        <v>49</v>
      </c>
      <c r="F318" s="9" t="s">
        <v>431</v>
      </c>
      <c r="G318" s="9" t="s">
        <v>212</v>
      </c>
      <c r="H318" s="10" t="n">
        <v>5.073</v>
      </c>
      <c r="I318" s="9" t="str">
        <f aca="false">IF(OR(G318="links",G318="gegen UZS"),INDEX(Bezugspunkte!$C:$C,MATCH(F318,Bezugspunkte!$A:$A,0)),INDEX(Bezugspunkte!$E:$E,MATCH(F318,Bezugspunkte!$A:$A,0)))</f>
        <v>KI20</v>
      </c>
      <c r="J318" s="10" t="n">
        <f aca="false">IF(OR(G318="links",G318="gegen UZS"),INDEX(Bezugspunkte!$D:$D,MATCH(F318,Bezugspunkte!$A:$A,0)),INDEX(Bezugspunkte!$F:$F,MATCH(F318,Bezugspunkte!$A:$A,0)))</f>
        <v>6.486</v>
      </c>
      <c r="K318" s="10" t="n">
        <f aca="false">J318-H318</f>
        <v>1.413</v>
      </c>
      <c r="L318" s="10" t="n">
        <f aca="false">IF(AND(F318=F317,G318=G317),H318-H317,H318)</f>
        <v>2.718</v>
      </c>
      <c r="M318" s="10" t="n">
        <v>-4.124</v>
      </c>
      <c r="N318" s="10" t="n">
        <v>42.831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0"/>
  </cols>
  <sheetData>
    <row r="1" customFormat="false" ht="31.5" hidden="false" customHeight="true" outlineLevel="0" collapsed="false">
      <c r="A1" s="8" t="s">
        <v>64</v>
      </c>
      <c r="B1" s="8" t="s">
        <v>63</v>
      </c>
      <c r="C1" s="8" t="s">
        <v>436</v>
      </c>
      <c r="D1" s="8" t="s">
        <v>437</v>
      </c>
      <c r="E1" s="8" t="s">
        <v>438</v>
      </c>
      <c r="F1" s="8" t="s">
        <v>437</v>
      </c>
      <c r="G1" s="8" t="s">
        <v>439</v>
      </c>
      <c r="H1" s="8" t="s">
        <v>440</v>
      </c>
      <c r="I1" s="8" t="s">
        <v>71</v>
      </c>
      <c r="J1" s="8" t="s">
        <v>72</v>
      </c>
    </row>
    <row r="2" customFormat="false" ht="15" hidden="false" customHeight="false" outlineLevel="0" collapsed="false">
      <c r="A2" s="9" t="s">
        <v>75</v>
      </c>
      <c r="B2" s="9" t="s">
        <v>41</v>
      </c>
      <c r="C2" s="9" t="s">
        <v>427</v>
      </c>
      <c r="D2" s="10" t="n">
        <v>14.602</v>
      </c>
      <c r="E2" s="9" t="s">
        <v>441</v>
      </c>
      <c r="F2" s="10" t="n">
        <v>14.602</v>
      </c>
      <c r="G2" s="10" t="n">
        <f aca="false">D2+F2</f>
        <v>29.204</v>
      </c>
      <c r="H2" s="9" t="n">
        <f aca="false">COUNTIF(Fluter!$F:$F,A2)</f>
        <v>10</v>
      </c>
      <c r="I2" s="10" t="n">
        <v>0.053</v>
      </c>
      <c r="J2" s="10" t="n">
        <v>33.482</v>
      </c>
    </row>
    <row r="3" customFormat="false" ht="15" hidden="false" customHeight="false" outlineLevel="0" collapsed="false">
      <c r="A3" s="9" t="s">
        <v>90</v>
      </c>
      <c r="B3" s="9" t="s">
        <v>42</v>
      </c>
      <c r="C3" s="9" t="s">
        <v>415</v>
      </c>
      <c r="D3" s="10" t="n">
        <v>17.025</v>
      </c>
      <c r="E3" s="9" t="s">
        <v>442</v>
      </c>
      <c r="F3" s="10" t="n">
        <v>17.008</v>
      </c>
      <c r="G3" s="10" t="n">
        <f aca="false">D3+F3</f>
        <v>34.033</v>
      </c>
      <c r="H3" s="9" t="n">
        <f aca="false">COUNTIF(Fluter!$F:$F,A3)</f>
        <v>20</v>
      </c>
      <c r="I3" s="10" t="n">
        <v>0.056</v>
      </c>
      <c r="J3" s="10" t="n">
        <v>21.986</v>
      </c>
    </row>
    <row r="4" customFormat="false" ht="15" hidden="false" customHeight="false" outlineLevel="0" collapsed="false">
      <c r="A4" s="9" t="s">
        <v>111</v>
      </c>
      <c r="B4" s="9" t="s">
        <v>43</v>
      </c>
      <c r="C4" s="9" t="s">
        <v>443</v>
      </c>
      <c r="D4" s="10" t="n">
        <v>17.042</v>
      </c>
      <c r="E4" s="9" t="s">
        <v>337</v>
      </c>
      <c r="F4" s="10" t="n">
        <v>17.04</v>
      </c>
      <c r="G4" s="10" t="n">
        <f aca="false">D4+F4</f>
        <v>34.082</v>
      </c>
      <c r="H4" s="9" t="n">
        <f aca="false">COUNTIF(Fluter!$F:$F,A4)</f>
        <v>25</v>
      </c>
      <c r="I4" s="10" t="n">
        <v>0</v>
      </c>
      <c r="J4" s="10" t="n">
        <v>6.646</v>
      </c>
    </row>
    <row r="5" customFormat="false" ht="15" hidden="false" customHeight="false" outlineLevel="0" collapsed="false">
      <c r="A5" s="9" t="s">
        <v>11</v>
      </c>
      <c r="B5" s="9" t="s">
        <v>44</v>
      </c>
      <c r="C5" s="9" t="s">
        <v>405</v>
      </c>
      <c r="D5" s="10" t="n">
        <v>17.042</v>
      </c>
      <c r="E5" s="9" t="s">
        <v>444</v>
      </c>
      <c r="F5" s="10" t="n">
        <v>17.08</v>
      </c>
      <c r="G5" s="10" t="n">
        <f aca="false">D5+F5</f>
        <v>34.122</v>
      </c>
      <c r="H5" s="9" t="n">
        <f aca="false">COUNTIF(Fluter!$F:$F,A5)</f>
        <v>12</v>
      </c>
      <c r="I5" s="10" t="n">
        <v>0</v>
      </c>
      <c r="J5" s="10" t="n">
        <v>0</v>
      </c>
    </row>
    <row r="6" customFormat="false" ht="15" hidden="false" customHeight="false" outlineLevel="0" collapsed="false">
      <c r="A6" s="9" t="s">
        <v>150</v>
      </c>
      <c r="B6" s="9" t="s">
        <v>45</v>
      </c>
      <c r="C6" s="9" t="s">
        <v>445</v>
      </c>
      <c r="D6" s="10" t="n">
        <v>17.041</v>
      </c>
      <c r="E6" s="9" t="s">
        <v>352</v>
      </c>
      <c r="F6" s="10" t="n">
        <v>17.042</v>
      </c>
      <c r="G6" s="10" t="n">
        <f aca="false">D6+F6</f>
        <v>34.083</v>
      </c>
      <c r="H6" s="9" t="n">
        <f aca="false">COUNTIF(Fluter!$F:$F,A6)</f>
        <v>25</v>
      </c>
      <c r="I6" s="10" t="n">
        <v>0</v>
      </c>
      <c r="J6" s="10" t="n">
        <v>-6.649</v>
      </c>
    </row>
    <row r="7" customFormat="false" ht="15" hidden="false" customHeight="false" outlineLevel="0" collapsed="false">
      <c r="A7" s="9" t="s">
        <v>176</v>
      </c>
      <c r="B7" s="9" t="s">
        <v>46</v>
      </c>
      <c r="C7" s="9" t="s">
        <v>393</v>
      </c>
      <c r="D7" s="10" t="n">
        <v>17.048</v>
      </c>
      <c r="E7" s="9" t="s">
        <v>446</v>
      </c>
      <c r="F7" s="10" t="n">
        <v>17.042</v>
      </c>
      <c r="G7" s="10" t="n">
        <f aca="false">D7+F7</f>
        <v>34.09</v>
      </c>
      <c r="H7" s="9" t="n">
        <f aca="false">COUNTIF(Fluter!$F:$F,A7)</f>
        <v>20</v>
      </c>
      <c r="I7" s="10" t="n">
        <v>0.033</v>
      </c>
      <c r="J7" s="10" t="n">
        <v>-21.989</v>
      </c>
    </row>
    <row r="8" customFormat="false" ht="15" hidden="false" customHeight="false" outlineLevel="0" collapsed="false">
      <c r="A8" s="9" t="s">
        <v>197</v>
      </c>
      <c r="B8" s="9" t="s">
        <v>47</v>
      </c>
      <c r="C8" s="9" t="s">
        <v>389</v>
      </c>
      <c r="D8" s="10" t="n">
        <v>14.602</v>
      </c>
      <c r="E8" s="9" t="s">
        <v>447</v>
      </c>
      <c r="F8" s="10" t="n">
        <v>14.602</v>
      </c>
      <c r="G8" s="10" t="n">
        <f aca="false">D8+F8</f>
        <v>29.204</v>
      </c>
      <c r="H8" s="9" t="n">
        <f aca="false">COUNTIF(Fluter!$F:$F,A8)</f>
        <v>10</v>
      </c>
      <c r="I8" s="10" t="n">
        <v>0.053</v>
      </c>
      <c r="J8" s="10" t="n">
        <v>-33.477</v>
      </c>
    </row>
    <row r="9" customFormat="false" ht="15" hidden="false" customHeight="false" outlineLevel="0" collapsed="false">
      <c r="A9" s="9" t="s">
        <v>209</v>
      </c>
      <c r="B9" s="9" t="s">
        <v>48</v>
      </c>
      <c r="C9" s="9" t="s">
        <v>448</v>
      </c>
      <c r="D9" s="10" t="n">
        <v>8.333</v>
      </c>
      <c r="E9" s="9" t="s">
        <v>449</v>
      </c>
      <c r="F9" s="10" t="n">
        <v>8.334</v>
      </c>
      <c r="G9" s="10" t="n">
        <f aca="false">D9+F9</f>
        <v>16.667</v>
      </c>
      <c r="H9" s="9" t="n">
        <f aca="false">COUNTIF(Fluter!$F:$F,A9)</f>
        <v>4</v>
      </c>
      <c r="I9" s="10" t="n">
        <v>4.789</v>
      </c>
      <c r="J9" s="10" t="n">
        <v>56.962</v>
      </c>
    </row>
    <row r="10" customFormat="false" ht="15" hidden="false" customHeight="false" outlineLevel="0" collapsed="false">
      <c r="A10" s="9" t="s">
        <v>216</v>
      </c>
      <c r="B10" s="9" t="s">
        <v>48</v>
      </c>
      <c r="C10" s="9" t="s">
        <v>449</v>
      </c>
      <c r="D10" s="10" t="n">
        <v>8.078</v>
      </c>
      <c r="E10" s="9" t="s">
        <v>450</v>
      </c>
      <c r="F10" s="10" t="n">
        <v>8.207</v>
      </c>
      <c r="G10" s="10" t="n">
        <f aca="false">D10+F10</f>
        <v>16.285</v>
      </c>
      <c r="H10" s="9" t="n">
        <f aca="false">COUNTIF(Fluter!$F:$F,A10)</f>
        <v>4</v>
      </c>
      <c r="I10" s="10" t="n">
        <v>19.333</v>
      </c>
      <c r="J10" s="10" t="n">
        <v>49.488</v>
      </c>
    </row>
    <row r="11" customFormat="false" ht="15" hidden="false" customHeight="false" outlineLevel="0" collapsed="false">
      <c r="A11" s="9" t="s">
        <v>221</v>
      </c>
      <c r="B11" s="9" t="s">
        <v>48</v>
      </c>
      <c r="C11" s="9" t="s">
        <v>450</v>
      </c>
      <c r="D11" s="10" t="n">
        <v>7.441</v>
      </c>
      <c r="E11" s="9" t="s">
        <v>451</v>
      </c>
      <c r="F11" s="10" t="n">
        <v>7.344</v>
      </c>
      <c r="G11" s="10" t="n">
        <f aca="false">D11+F11</f>
        <v>14.785</v>
      </c>
      <c r="H11" s="9" t="n">
        <f aca="false">COUNTIF(Fluter!$F:$F,A11)</f>
        <v>5</v>
      </c>
      <c r="I11" s="10" t="n">
        <v>28.823</v>
      </c>
      <c r="J11" s="10" t="n">
        <v>37.067</v>
      </c>
    </row>
    <row r="12" customFormat="false" ht="15" hidden="false" customHeight="false" outlineLevel="0" collapsed="false">
      <c r="A12" s="9" t="s">
        <v>227</v>
      </c>
      <c r="B12" s="9" t="s">
        <v>48</v>
      </c>
      <c r="C12" s="9" t="s">
        <v>451</v>
      </c>
      <c r="D12" s="10" t="n">
        <v>7.94</v>
      </c>
      <c r="E12" s="9" t="s">
        <v>452</v>
      </c>
      <c r="F12" s="10" t="n">
        <v>7.563</v>
      </c>
      <c r="G12" s="10" t="n">
        <f aca="false">D12+F12</f>
        <v>15.503</v>
      </c>
      <c r="H12" s="9" t="n">
        <f aca="false">COUNTIF(Fluter!$F:$F,A12)</f>
        <v>6</v>
      </c>
      <c r="I12" s="10" t="n">
        <v>33.599</v>
      </c>
      <c r="J12" s="10" t="n">
        <v>22.794</v>
      </c>
    </row>
    <row r="13" customFormat="false" ht="15" hidden="false" customHeight="false" outlineLevel="0" collapsed="false">
      <c r="A13" s="9" t="s">
        <v>234</v>
      </c>
      <c r="B13" s="9" t="s">
        <v>48</v>
      </c>
      <c r="C13" s="9" t="s">
        <v>452</v>
      </c>
      <c r="D13" s="10" t="n">
        <v>31.238</v>
      </c>
      <c r="E13" s="9" t="s">
        <v>453</v>
      </c>
      <c r="F13" s="10" t="n">
        <v>7.468</v>
      </c>
      <c r="G13" s="10" t="n">
        <f aca="false">D13+F13</f>
        <v>38.706</v>
      </c>
      <c r="H13" s="9" t="n">
        <f aca="false">COUNTIF(Fluter!$F:$F,A13)</f>
        <v>15</v>
      </c>
      <c r="I13" s="10" t="n">
        <v>33.937</v>
      </c>
      <c r="J13" s="10" t="n">
        <v>-15.997</v>
      </c>
    </row>
    <row r="14" customFormat="false" ht="15" hidden="false" customHeight="false" outlineLevel="0" collapsed="false">
      <c r="A14" s="9" t="s">
        <v>250</v>
      </c>
      <c r="B14" s="9" t="s">
        <v>48</v>
      </c>
      <c r="C14" s="9" t="s">
        <v>453</v>
      </c>
      <c r="D14" s="10" t="n">
        <v>8.158</v>
      </c>
      <c r="E14" s="9" t="s">
        <v>454</v>
      </c>
      <c r="F14" s="10" t="n">
        <v>7.316</v>
      </c>
      <c r="G14" s="10" t="n">
        <f aca="false">D14+F14</f>
        <v>15.474</v>
      </c>
      <c r="H14" s="9" t="n">
        <f aca="false">COUNTIF(Fluter!$F:$F,A14)</f>
        <v>6</v>
      </c>
      <c r="I14" s="10" t="n">
        <v>32.185</v>
      </c>
      <c r="J14" s="10" t="n">
        <v>-31.508</v>
      </c>
    </row>
    <row r="15" customFormat="false" ht="15" hidden="false" customHeight="false" outlineLevel="0" collapsed="false">
      <c r="A15" s="9" t="s">
        <v>257</v>
      </c>
      <c r="B15" s="9" t="s">
        <v>48</v>
      </c>
      <c r="C15" s="9" t="s">
        <v>454</v>
      </c>
      <c r="D15" s="10" t="n">
        <v>7.171</v>
      </c>
      <c r="E15" s="9" t="s">
        <v>455</v>
      </c>
      <c r="F15" s="10" t="n">
        <v>8.252</v>
      </c>
      <c r="G15" s="10" t="n">
        <f aca="false">D15+F15</f>
        <v>15.423</v>
      </c>
      <c r="H15" s="9" t="n">
        <f aca="false">COUNTIF(Fluter!$F:$F,A15)</f>
        <v>5</v>
      </c>
      <c r="I15" s="10" t="n">
        <v>24.226</v>
      </c>
      <c r="J15" s="10" t="n">
        <v>-43.609</v>
      </c>
    </row>
    <row r="16" customFormat="false" ht="15" hidden="false" customHeight="false" outlineLevel="0" collapsed="false">
      <c r="A16" s="9" t="s">
        <v>263</v>
      </c>
      <c r="B16" s="9" t="s">
        <v>48</v>
      </c>
      <c r="C16" s="9" t="s">
        <v>455</v>
      </c>
      <c r="D16" s="10" t="n">
        <v>8.336</v>
      </c>
      <c r="E16" s="9" t="s">
        <v>456</v>
      </c>
      <c r="F16" s="10" t="n">
        <v>8.532</v>
      </c>
      <c r="G16" s="10" t="n">
        <f aca="false">D16+F16</f>
        <v>16.868</v>
      </c>
      <c r="H16" s="9" t="n">
        <f aca="false">COUNTIF(Fluter!$F:$F,A16)</f>
        <v>4</v>
      </c>
      <c r="I16" s="10" t="n">
        <v>11.684</v>
      </c>
      <c r="J16" s="10" t="n">
        <v>-54.18</v>
      </c>
    </row>
    <row r="17" customFormat="false" ht="15" hidden="false" customHeight="false" outlineLevel="0" collapsed="false">
      <c r="A17" s="9" t="s">
        <v>268</v>
      </c>
      <c r="B17" s="9" t="s">
        <v>48</v>
      </c>
      <c r="C17" s="9" t="s">
        <v>456</v>
      </c>
      <c r="D17" s="10" t="n">
        <v>8.346</v>
      </c>
      <c r="E17" s="9" t="s">
        <v>457</v>
      </c>
      <c r="F17" s="10" t="n">
        <v>8.379</v>
      </c>
      <c r="G17" s="10" t="n">
        <f aca="false">D17+F17</f>
        <v>16.725</v>
      </c>
      <c r="H17" s="9" t="n">
        <f aca="false">COUNTIF(Fluter!$F:$F,A17)</f>
        <v>4</v>
      </c>
      <c r="I17" s="10" t="n">
        <v>-4.739</v>
      </c>
      <c r="J17" s="10" t="n">
        <v>-56.922</v>
      </c>
    </row>
    <row r="18" customFormat="false" ht="15" hidden="false" customHeight="false" outlineLevel="0" collapsed="false">
      <c r="A18" s="9" t="s">
        <v>273</v>
      </c>
      <c r="B18" s="9" t="s">
        <v>48</v>
      </c>
      <c r="C18" s="9" t="s">
        <v>457</v>
      </c>
      <c r="D18" s="10" t="n">
        <v>8.145</v>
      </c>
      <c r="E18" s="9" t="s">
        <v>458</v>
      </c>
      <c r="F18" s="10" t="n">
        <v>8.173</v>
      </c>
      <c r="G18" s="10" t="n">
        <f aca="false">D18+F18</f>
        <v>16.318</v>
      </c>
      <c r="H18" s="9" t="n">
        <f aca="false">COUNTIF(Fluter!$F:$F,A18)</f>
        <v>4</v>
      </c>
      <c r="I18" s="10" t="n">
        <v>-19.292</v>
      </c>
      <c r="J18" s="10" t="n">
        <v>-49.351</v>
      </c>
    </row>
    <row r="19" customFormat="false" ht="15" hidden="false" customHeight="false" outlineLevel="0" collapsed="false">
      <c r="A19" s="9" t="s">
        <v>278</v>
      </c>
      <c r="B19" s="9" t="s">
        <v>48</v>
      </c>
      <c r="C19" s="9" t="s">
        <v>458</v>
      </c>
      <c r="D19" s="10" t="n">
        <v>7.792</v>
      </c>
      <c r="E19" s="9" t="s">
        <v>459</v>
      </c>
      <c r="F19" s="10" t="n">
        <v>7.565</v>
      </c>
      <c r="G19" s="10" t="n">
        <f aca="false">D19+F19</f>
        <v>15.357</v>
      </c>
      <c r="H19" s="9" t="n">
        <f aca="false">COUNTIF(Fluter!$F:$F,A19)</f>
        <v>5</v>
      </c>
      <c r="I19" s="10" t="n">
        <v>-29.017</v>
      </c>
      <c r="J19" s="10" t="n">
        <v>-36.725</v>
      </c>
    </row>
    <row r="20" customFormat="false" ht="15" hidden="false" customHeight="false" outlineLevel="0" collapsed="false">
      <c r="A20" s="9" t="s">
        <v>284</v>
      </c>
      <c r="B20" s="9" t="s">
        <v>48</v>
      </c>
      <c r="C20" s="9" t="s">
        <v>459</v>
      </c>
      <c r="D20" s="10" t="n">
        <v>7.989</v>
      </c>
      <c r="E20" s="9" t="s">
        <v>460</v>
      </c>
      <c r="F20" s="10" t="n">
        <v>7.433</v>
      </c>
      <c r="G20" s="10" t="n">
        <f aca="false">D20+F20</f>
        <v>15.422</v>
      </c>
      <c r="H20" s="9" t="n">
        <f aca="false">COUNTIF(Fluter!$F:$F,A20)</f>
        <v>5</v>
      </c>
      <c r="I20" s="10" t="n">
        <v>-33.549</v>
      </c>
      <c r="J20" s="10" t="n">
        <v>-22.073</v>
      </c>
    </row>
    <row r="21" customFormat="false" ht="15" hidden="false" customHeight="false" outlineLevel="0" collapsed="false">
      <c r="A21" s="9" t="s">
        <v>290</v>
      </c>
      <c r="B21" s="9" t="s">
        <v>48</v>
      </c>
      <c r="C21" s="9" t="s">
        <v>460</v>
      </c>
      <c r="D21" s="10" t="n">
        <v>29.886</v>
      </c>
      <c r="E21" s="9" t="s">
        <v>461</v>
      </c>
      <c r="F21" s="10" t="n">
        <v>7.556</v>
      </c>
      <c r="G21" s="10" t="n">
        <f aca="false">D21+F21</f>
        <v>37.442</v>
      </c>
      <c r="H21" s="9" t="n">
        <f aca="false">COUNTIF(Fluter!$F:$F,A21)</f>
        <v>14</v>
      </c>
      <c r="I21" s="10" t="n">
        <v>-33.875</v>
      </c>
      <c r="J21" s="10" t="n">
        <v>15.24</v>
      </c>
    </row>
    <row r="22" customFormat="false" ht="15" hidden="false" customHeight="false" outlineLevel="0" collapsed="false">
      <c r="A22" s="9" t="s">
        <v>305</v>
      </c>
      <c r="B22" s="9" t="s">
        <v>48</v>
      </c>
      <c r="C22" s="9" t="s">
        <v>461</v>
      </c>
      <c r="D22" s="10" t="n">
        <v>7.932</v>
      </c>
      <c r="E22" s="9" t="s">
        <v>462</v>
      </c>
      <c r="F22" s="10" t="n">
        <v>7.592</v>
      </c>
      <c r="G22" s="10" t="n">
        <f aca="false">D22+F22</f>
        <v>15.524</v>
      </c>
      <c r="H22" s="9" t="n">
        <f aca="false">COUNTIF(Fluter!$F:$F,A22)</f>
        <v>5</v>
      </c>
      <c r="I22" s="10" t="n">
        <v>-32.394</v>
      </c>
      <c r="J22" s="10" t="n">
        <v>30.63</v>
      </c>
    </row>
    <row r="23" customFormat="false" ht="15" hidden="false" customHeight="false" outlineLevel="0" collapsed="false">
      <c r="A23" s="9" t="s">
        <v>311</v>
      </c>
      <c r="B23" s="9" t="s">
        <v>48</v>
      </c>
      <c r="C23" s="9" t="s">
        <v>462</v>
      </c>
      <c r="D23" s="10" t="n">
        <v>7.881</v>
      </c>
      <c r="E23" s="9" t="s">
        <v>463</v>
      </c>
      <c r="F23" s="10" t="n">
        <v>8.272</v>
      </c>
      <c r="G23" s="10" t="n">
        <f aca="false">D23+F23</f>
        <v>16.153</v>
      </c>
      <c r="H23" s="9" t="n">
        <f aca="false">COUNTIF(Fluter!$F:$F,A23)</f>
        <v>5</v>
      </c>
      <c r="I23" s="10" t="n">
        <v>-24.298</v>
      </c>
      <c r="J23" s="10" t="n">
        <v>43.795</v>
      </c>
    </row>
    <row r="24" customFormat="false" ht="15" hidden="false" customHeight="false" outlineLevel="0" collapsed="false">
      <c r="A24" s="9" t="s">
        <v>317</v>
      </c>
      <c r="B24" s="9" t="s">
        <v>48</v>
      </c>
      <c r="C24" s="9" t="s">
        <v>463</v>
      </c>
      <c r="D24" s="10" t="n">
        <v>8.421</v>
      </c>
      <c r="E24" s="9" t="s">
        <v>448</v>
      </c>
      <c r="F24" s="10" t="n">
        <v>8.509</v>
      </c>
      <c r="G24" s="10" t="n">
        <f aca="false">D24+F24</f>
        <v>16.93</v>
      </c>
      <c r="H24" s="9" t="n">
        <f aca="false">COUNTIF(Fluter!$F:$F,A24)</f>
        <v>4</v>
      </c>
      <c r="I24" s="10" t="n">
        <v>-11.688</v>
      </c>
      <c r="J24" s="10" t="n">
        <v>54.524</v>
      </c>
    </row>
    <row r="25" customFormat="false" ht="15" hidden="false" customHeight="false" outlineLevel="0" collapsed="false">
      <c r="A25" s="9" t="s">
        <v>322</v>
      </c>
      <c r="B25" s="9" t="s">
        <v>49</v>
      </c>
      <c r="C25" s="9" t="s">
        <v>464</v>
      </c>
      <c r="D25" s="10" t="n">
        <v>6.364</v>
      </c>
      <c r="E25" s="9" t="s">
        <v>465</v>
      </c>
      <c r="F25" s="10" t="n">
        <v>6.337</v>
      </c>
      <c r="G25" s="10" t="n">
        <f aca="false">D25+F25</f>
        <v>12.701</v>
      </c>
      <c r="H25" s="9" t="n">
        <f aca="false">COUNTIF(Fluter!$F:$F,A25)</f>
        <v>5</v>
      </c>
      <c r="I25" s="10" t="n">
        <v>3.633</v>
      </c>
      <c r="J25" s="10" t="n">
        <v>43.173</v>
      </c>
    </row>
    <row r="26" customFormat="false" ht="15" hidden="false" customHeight="false" outlineLevel="0" collapsed="false">
      <c r="A26" s="9" t="s">
        <v>328</v>
      </c>
      <c r="B26" s="9" t="s">
        <v>49</v>
      </c>
      <c r="C26" s="9" t="s">
        <v>465</v>
      </c>
      <c r="D26" s="10" t="n">
        <v>6.65</v>
      </c>
      <c r="E26" s="9" t="s">
        <v>441</v>
      </c>
      <c r="F26" s="10" t="n">
        <v>2.347</v>
      </c>
      <c r="G26" s="10" t="n">
        <f aca="false">D26+F26</f>
        <v>8.997</v>
      </c>
      <c r="H26" s="9" t="n">
        <f aca="false">COUNTIF(Fluter!$F:$F,A26)</f>
        <v>3</v>
      </c>
      <c r="I26" s="10" t="n">
        <v>13.907</v>
      </c>
      <c r="J26" s="10" t="n">
        <v>35.706</v>
      </c>
    </row>
    <row r="27" customFormat="false" ht="15" hidden="false" customHeight="false" outlineLevel="0" collapsed="false">
      <c r="A27" s="9" t="s">
        <v>332</v>
      </c>
      <c r="B27" s="9" t="s">
        <v>49</v>
      </c>
      <c r="C27" s="9" t="s">
        <v>441</v>
      </c>
      <c r="D27" s="10" t="n">
        <v>5.143</v>
      </c>
      <c r="E27" s="9" t="s">
        <v>442</v>
      </c>
      <c r="F27" s="10" t="n">
        <v>6.686</v>
      </c>
      <c r="G27" s="10" t="n">
        <f aca="false">D27+F27</f>
        <v>11.829</v>
      </c>
      <c r="H27" s="9" t="n">
        <f aca="false">COUNTIF(Fluter!$F:$F,A27)</f>
        <v>4</v>
      </c>
      <c r="I27" s="10" t="n">
        <v>16.273</v>
      </c>
      <c r="J27" s="10" t="n">
        <v>28.6</v>
      </c>
    </row>
    <row r="28" customFormat="false" ht="15" hidden="false" customHeight="false" outlineLevel="0" collapsed="false">
      <c r="A28" s="9" t="s">
        <v>337</v>
      </c>
      <c r="B28" s="9" t="s">
        <v>49</v>
      </c>
      <c r="C28" s="9" t="s">
        <v>442</v>
      </c>
      <c r="D28" s="10" t="n">
        <v>15.247</v>
      </c>
      <c r="E28" s="9" t="s">
        <v>444</v>
      </c>
      <c r="F28" s="10" t="n">
        <v>6.649</v>
      </c>
      <c r="G28" s="10" t="n">
        <f aca="false">D28+F28</f>
        <v>21.896</v>
      </c>
      <c r="H28" s="9" t="n">
        <f aca="false">COUNTIF(Fluter!$F:$F,A28)</f>
        <v>14</v>
      </c>
      <c r="I28" s="10" t="n">
        <v>17.04</v>
      </c>
      <c r="J28" s="10" t="n">
        <v>6.715</v>
      </c>
    </row>
    <row r="29" customFormat="false" ht="15" hidden="false" customHeight="false" outlineLevel="0" collapsed="false">
      <c r="A29" s="9" t="s">
        <v>352</v>
      </c>
      <c r="B29" s="9" t="s">
        <v>49</v>
      </c>
      <c r="C29" s="9" t="s">
        <v>444</v>
      </c>
      <c r="D29" s="10" t="n">
        <v>6.715</v>
      </c>
      <c r="E29" s="9" t="s">
        <v>446</v>
      </c>
      <c r="F29" s="10" t="n">
        <v>15.69</v>
      </c>
      <c r="G29" s="10" t="n">
        <f aca="false">D29+F29</f>
        <v>22.405</v>
      </c>
      <c r="H29" s="9" t="n">
        <f aca="false">COUNTIF(Fluter!$F:$F,A29)</f>
        <v>15</v>
      </c>
      <c r="I29" s="10" t="n">
        <v>17.042</v>
      </c>
      <c r="J29" s="10" t="n">
        <v>-6.649</v>
      </c>
    </row>
    <row r="30" customFormat="false" ht="15" hidden="false" customHeight="false" outlineLevel="0" collapsed="false">
      <c r="A30" s="9" t="s">
        <v>368</v>
      </c>
      <c r="B30" s="9" t="s">
        <v>49</v>
      </c>
      <c r="C30" s="9" t="s">
        <v>446</v>
      </c>
      <c r="D30" s="10" t="n">
        <v>6.727</v>
      </c>
      <c r="E30" s="9" t="s">
        <v>447</v>
      </c>
      <c r="F30" s="10" t="n">
        <v>4.719</v>
      </c>
      <c r="G30" s="10" t="n">
        <f aca="false">D30+F30</f>
        <v>11.446</v>
      </c>
      <c r="H30" s="9" t="n">
        <f aca="false">COUNTIF(Fluter!$F:$F,A30)</f>
        <v>4</v>
      </c>
      <c r="I30" s="10" t="n">
        <v>16.148</v>
      </c>
      <c r="J30" s="10" t="n">
        <v>-29.001</v>
      </c>
    </row>
    <row r="31" customFormat="false" ht="15" hidden="false" customHeight="false" outlineLevel="0" collapsed="false">
      <c r="A31" s="9" t="s">
        <v>373</v>
      </c>
      <c r="B31" s="9" t="s">
        <v>49</v>
      </c>
      <c r="C31" s="9" t="s">
        <v>447</v>
      </c>
      <c r="D31" s="10" t="n">
        <v>2.959</v>
      </c>
      <c r="E31" s="9" t="s">
        <v>466</v>
      </c>
      <c r="F31" s="10" t="n">
        <v>6.468</v>
      </c>
      <c r="G31" s="10" t="n">
        <f aca="false">D31+F31</f>
        <v>9.427</v>
      </c>
      <c r="H31" s="9" t="n">
        <f aca="false">COUNTIF(Fluter!$F:$F,A31)</f>
        <v>4</v>
      </c>
      <c r="I31" s="10" t="n">
        <v>13.651</v>
      </c>
      <c r="J31" s="10" t="n">
        <v>-36.261</v>
      </c>
    </row>
    <row r="32" customFormat="false" ht="15" hidden="false" customHeight="false" outlineLevel="0" collapsed="false">
      <c r="A32" s="9" t="s">
        <v>378</v>
      </c>
      <c r="B32" s="9" t="s">
        <v>49</v>
      </c>
      <c r="C32" s="9" t="s">
        <v>466</v>
      </c>
      <c r="D32" s="10" t="n">
        <v>6.53</v>
      </c>
      <c r="E32" s="9" t="s">
        <v>467</v>
      </c>
      <c r="F32" s="10" t="n">
        <v>6.334</v>
      </c>
      <c r="G32" s="10" t="n">
        <f aca="false">D32+F32</f>
        <v>12.864</v>
      </c>
      <c r="H32" s="9" t="n">
        <f aca="false">COUNTIF(Fluter!$F:$F,A32)</f>
        <v>4</v>
      </c>
      <c r="I32" s="10" t="n">
        <v>2.753</v>
      </c>
      <c r="J32" s="10" t="n">
        <v>-43.077</v>
      </c>
    </row>
    <row r="33" customFormat="false" ht="15" hidden="false" customHeight="false" outlineLevel="0" collapsed="false">
      <c r="A33" s="9" t="s">
        <v>383</v>
      </c>
      <c r="B33" s="9" t="s">
        <v>49</v>
      </c>
      <c r="C33" s="9" t="s">
        <v>467</v>
      </c>
      <c r="D33" s="10" t="n">
        <v>6.417</v>
      </c>
      <c r="E33" s="9" t="s">
        <v>468</v>
      </c>
      <c r="F33" s="10" t="n">
        <v>6.56</v>
      </c>
      <c r="G33" s="10" t="n">
        <f aca="false">D33+F33</f>
        <v>12.977</v>
      </c>
      <c r="H33" s="9" t="n">
        <f aca="false">COUNTIF(Fluter!$F:$F,A33)</f>
        <v>5</v>
      </c>
      <c r="I33" s="10" t="n">
        <v>-9.391</v>
      </c>
      <c r="J33" s="10" t="n">
        <v>-40.35</v>
      </c>
    </row>
    <row r="34" customFormat="false" ht="15" hidden="false" customHeight="false" outlineLevel="0" collapsed="false">
      <c r="A34" s="9" t="s">
        <v>389</v>
      </c>
      <c r="B34" s="9" t="s">
        <v>49</v>
      </c>
      <c r="C34" s="9" t="s">
        <v>468</v>
      </c>
      <c r="D34" s="10" t="n">
        <v>2.165</v>
      </c>
      <c r="E34" s="9" t="s">
        <v>469</v>
      </c>
      <c r="F34" s="10" t="n">
        <v>5.186</v>
      </c>
      <c r="G34" s="10" t="n">
        <f aca="false">D34+F34</f>
        <v>7.351</v>
      </c>
      <c r="H34" s="9" t="n">
        <f aca="false">COUNTIF(Fluter!$F:$F,A34)</f>
        <v>3</v>
      </c>
      <c r="I34" s="10" t="n">
        <v>-14.549</v>
      </c>
      <c r="J34" s="10" t="n">
        <v>-33.477</v>
      </c>
    </row>
    <row r="35" customFormat="false" ht="15" hidden="false" customHeight="false" outlineLevel="0" collapsed="false">
      <c r="A35" s="9" t="s">
        <v>393</v>
      </c>
      <c r="B35" s="9" t="s">
        <v>49</v>
      </c>
      <c r="C35" s="9" t="s">
        <v>469</v>
      </c>
      <c r="D35" s="10" t="n">
        <v>6.916</v>
      </c>
      <c r="E35" s="9" t="s">
        <v>445</v>
      </c>
      <c r="F35" s="10" t="n">
        <v>15.126</v>
      </c>
      <c r="G35" s="10" t="n">
        <f aca="false">D35+F35</f>
        <v>22.042</v>
      </c>
      <c r="H35" s="9" t="n">
        <f aca="false">COUNTIF(Fluter!$F:$F,A35)</f>
        <v>11</v>
      </c>
      <c r="I35" s="10" t="n">
        <v>-17.015</v>
      </c>
      <c r="J35" s="10" t="n">
        <v>-21.706</v>
      </c>
    </row>
    <row r="36" customFormat="false" ht="15" hidden="false" customHeight="false" outlineLevel="0" collapsed="false">
      <c r="A36" s="9" t="s">
        <v>405</v>
      </c>
      <c r="B36" s="9" t="s">
        <v>49</v>
      </c>
      <c r="C36" s="9" t="s">
        <v>445</v>
      </c>
      <c r="D36" s="10" t="n">
        <v>6.58</v>
      </c>
      <c r="E36" s="9" t="s">
        <v>443</v>
      </c>
      <c r="F36" s="10" t="n">
        <v>6.646</v>
      </c>
      <c r="G36" s="10" t="n">
        <f aca="false">D36+F36</f>
        <v>13.226</v>
      </c>
      <c r="H36" s="9" t="n">
        <f aca="false">COUNTIF(Fluter!$F:$F,A36)</f>
        <v>9</v>
      </c>
      <c r="I36" s="10" t="n">
        <v>-17.042</v>
      </c>
      <c r="J36" s="10" t="n">
        <v>0</v>
      </c>
    </row>
    <row r="37" customFormat="false" ht="15" hidden="false" customHeight="false" outlineLevel="0" collapsed="false">
      <c r="A37" s="9" t="s">
        <v>415</v>
      </c>
      <c r="B37" s="9" t="s">
        <v>49</v>
      </c>
      <c r="C37" s="9" t="s">
        <v>443</v>
      </c>
      <c r="D37" s="10" t="n">
        <v>15.436</v>
      </c>
      <c r="E37" s="9" t="s">
        <v>470</v>
      </c>
      <c r="F37" s="10" t="n">
        <v>7.197</v>
      </c>
      <c r="G37" s="10" t="n">
        <f aca="false">D37+F37</f>
        <v>22.633</v>
      </c>
      <c r="H37" s="9" t="n">
        <f aca="false">COUNTIF(Fluter!$F:$F,A37)</f>
        <v>11</v>
      </c>
      <c r="I37" s="10" t="n">
        <v>-16.969</v>
      </c>
      <c r="J37" s="10" t="n">
        <v>22.082</v>
      </c>
    </row>
    <row r="38" customFormat="false" ht="15" hidden="false" customHeight="false" outlineLevel="0" collapsed="false">
      <c r="A38" s="9" t="s">
        <v>427</v>
      </c>
      <c r="B38" s="9" t="s">
        <v>49</v>
      </c>
      <c r="C38" s="9" t="s">
        <v>470</v>
      </c>
      <c r="D38" s="10" t="n">
        <v>4.541</v>
      </c>
      <c r="E38" s="9" t="s">
        <v>471</v>
      </c>
      <c r="F38" s="10" t="n">
        <v>2.898</v>
      </c>
      <c r="G38" s="10" t="n">
        <f aca="false">D38+F38</f>
        <v>7.439</v>
      </c>
      <c r="H38" s="9" t="n">
        <f aca="false">COUNTIF(Fluter!$F:$F,A38)</f>
        <v>3</v>
      </c>
      <c r="I38" s="10" t="n">
        <v>-14.549</v>
      </c>
      <c r="J38" s="10" t="n">
        <v>33.482</v>
      </c>
    </row>
    <row r="39" customFormat="false" ht="15" hidden="false" customHeight="false" outlineLevel="0" collapsed="false">
      <c r="A39" s="9" t="s">
        <v>431</v>
      </c>
      <c r="B39" s="9" t="s">
        <v>49</v>
      </c>
      <c r="C39" s="9" t="s">
        <v>471</v>
      </c>
      <c r="D39" s="10" t="n">
        <v>6.584</v>
      </c>
      <c r="E39" s="9" t="s">
        <v>464</v>
      </c>
      <c r="F39" s="10" t="n">
        <v>6.486</v>
      </c>
      <c r="G39" s="10" t="n">
        <f aca="false">D39+F39</f>
        <v>13.07</v>
      </c>
      <c r="H39" s="9" t="n">
        <f aca="false">COUNTIF(Fluter!$F:$F,A39)</f>
        <v>5</v>
      </c>
      <c r="I39" s="10" t="n">
        <v>-8.725</v>
      </c>
      <c r="J39" s="10" t="n">
        <v>40.683</v>
      </c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5" hidden="false" customHeight="false" outlineLevel="0" collapsed="false">
      <c r="A41" s="7" t="s">
        <v>39</v>
      </c>
      <c r="B41" s="2"/>
      <c r="C41" s="2"/>
      <c r="D41" s="2"/>
      <c r="E41" s="2"/>
      <c r="F41" s="2"/>
      <c r="G41" s="11" t="n">
        <f aca="false">SUM(G2:G39)</f>
        <v>738.703</v>
      </c>
      <c r="H41" s="7" t="n">
        <f aca="false">SUM(H2:H39)</f>
        <v>317</v>
      </c>
      <c r="I41" s="2"/>
      <c r="J41" s="2"/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24"/>
  </cols>
  <sheetData>
    <row r="1" customFormat="false" ht="31.5" hidden="false" customHeight="true" outlineLevel="0" collapsed="false">
      <c r="A1" s="8" t="s">
        <v>472</v>
      </c>
      <c r="B1" s="8" t="s">
        <v>473</v>
      </c>
      <c r="C1" s="8" t="s">
        <v>63</v>
      </c>
      <c r="D1" s="8" t="s">
        <v>64</v>
      </c>
      <c r="E1" s="8" t="s">
        <v>65</v>
      </c>
      <c r="F1" s="8" t="s">
        <v>474</v>
      </c>
    </row>
    <row r="2" customFormat="false" ht="15" hidden="false" customHeight="false" outlineLevel="0" collapsed="false">
      <c r="A2" s="9" t="s">
        <v>475</v>
      </c>
      <c r="B2" s="9" t="s">
        <v>476</v>
      </c>
      <c r="C2" s="9" t="s">
        <v>41</v>
      </c>
      <c r="D2" s="9" t="s">
        <v>75</v>
      </c>
      <c r="E2" s="9" t="s">
        <v>76</v>
      </c>
      <c r="F2" s="10" t="n">
        <v>5.425</v>
      </c>
    </row>
    <row r="3" customFormat="false" ht="15" hidden="false" customHeight="false" outlineLevel="0" collapsed="false">
      <c r="A3" s="9" t="s">
        <v>477</v>
      </c>
      <c r="B3" s="9" t="s">
        <v>478</v>
      </c>
      <c r="C3" s="9" t="s">
        <v>41</v>
      </c>
      <c r="D3" s="9" t="s">
        <v>75</v>
      </c>
      <c r="E3" s="9" t="s">
        <v>83</v>
      </c>
      <c r="F3" s="10" t="n">
        <v>5.976</v>
      </c>
    </row>
    <row r="4" customFormat="false" ht="15" hidden="false" customHeight="false" outlineLevel="0" collapsed="false">
      <c r="A4" s="9" t="s">
        <v>479</v>
      </c>
      <c r="B4" s="9" t="s">
        <v>480</v>
      </c>
      <c r="C4" s="9" t="s">
        <v>42</v>
      </c>
      <c r="D4" s="9" t="s">
        <v>90</v>
      </c>
      <c r="E4" s="9" t="s">
        <v>76</v>
      </c>
      <c r="F4" s="10" t="n">
        <v>0.013</v>
      </c>
    </row>
    <row r="5" customFormat="false" ht="15" hidden="false" customHeight="false" outlineLevel="0" collapsed="false">
      <c r="A5" s="9" t="s">
        <v>481</v>
      </c>
      <c r="B5" s="9" t="s">
        <v>482</v>
      </c>
      <c r="C5" s="9" t="s">
        <v>42</v>
      </c>
      <c r="D5" s="9" t="s">
        <v>90</v>
      </c>
      <c r="E5" s="9" t="s">
        <v>76</v>
      </c>
      <c r="F5" s="10" t="n">
        <v>6.599</v>
      </c>
    </row>
    <row r="6" customFormat="false" ht="15" hidden="false" customHeight="false" outlineLevel="0" collapsed="false">
      <c r="A6" s="9" t="s">
        <v>483</v>
      </c>
      <c r="B6" s="9" t="s">
        <v>484</v>
      </c>
      <c r="C6" s="9" t="s">
        <v>42</v>
      </c>
      <c r="D6" s="9" t="s">
        <v>90</v>
      </c>
      <c r="E6" s="9" t="s">
        <v>76</v>
      </c>
      <c r="F6" s="10" t="n">
        <v>7.544</v>
      </c>
    </row>
    <row r="7" customFormat="false" ht="15" hidden="false" customHeight="false" outlineLevel="0" collapsed="false">
      <c r="A7" s="9" t="s">
        <v>485</v>
      </c>
      <c r="B7" s="9" t="s">
        <v>486</v>
      </c>
      <c r="C7" s="9" t="s">
        <v>42</v>
      </c>
      <c r="D7" s="9" t="s">
        <v>90</v>
      </c>
      <c r="E7" s="9" t="s">
        <v>76</v>
      </c>
      <c r="F7" s="10" t="n">
        <v>14.912</v>
      </c>
    </row>
    <row r="8" customFormat="false" ht="15" hidden="false" customHeight="false" outlineLevel="0" collapsed="false">
      <c r="A8" s="9" t="s">
        <v>487</v>
      </c>
      <c r="B8" s="9" t="s">
        <v>488</v>
      </c>
      <c r="C8" s="9" t="s">
        <v>42</v>
      </c>
      <c r="D8" s="9" t="s">
        <v>90</v>
      </c>
      <c r="E8" s="9" t="s">
        <v>83</v>
      </c>
      <c r="F8" s="10" t="n">
        <v>6.516</v>
      </c>
    </row>
    <row r="9" customFormat="false" ht="15" hidden="false" customHeight="false" outlineLevel="0" collapsed="false">
      <c r="A9" s="9" t="s">
        <v>489</v>
      </c>
      <c r="B9" s="9" t="s">
        <v>490</v>
      </c>
      <c r="C9" s="9" t="s">
        <v>42</v>
      </c>
      <c r="D9" s="9" t="s">
        <v>90</v>
      </c>
      <c r="E9" s="9" t="s">
        <v>83</v>
      </c>
      <c r="F9" s="10" t="n">
        <v>7.729</v>
      </c>
    </row>
    <row r="10" customFormat="false" ht="15" hidden="false" customHeight="false" outlineLevel="0" collapsed="false">
      <c r="A10" s="9" t="s">
        <v>491</v>
      </c>
      <c r="B10" s="9" t="s">
        <v>492</v>
      </c>
      <c r="C10" s="9" t="s">
        <v>42</v>
      </c>
      <c r="D10" s="9" t="s">
        <v>90</v>
      </c>
      <c r="E10" s="9" t="s">
        <v>83</v>
      </c>
      <c r="F10" s="10" t="n">
        <v>14.879</v>
      </c>
    </row>
    <row r="11" customFormat="false" ht="15" hidden="false" customHeight="false" outlineLevel="0" collapsed="false">
      <c r="A11" s="9" t="s">
        <v>493</v>
      </c>
      <c r="B11" s="9" t="s">
        <v>494</v>
      </c>
      <c r="C11" s="9" t="s">
        <v>43</v>
      </c>
      <c r="D11" s="9" t="s">
        <v>111</v>
      </c>
      <c r="E11" s="9" t="s">
        <v>76</v>
      </c>
      <c r="F11" s="10" t="n">
        <v>0.006</v>
      </c>
    </row>
    <row r="12" customFormat="false" ht="15" hidden="false" customHeight="false" outlineLevel="0" collapsed="false">
      <c r="A12" s="9" t="s">
        <v>495</v>
      </c>
      <c r="B12" s="9" t="s">
        <v>496</v>
      </c>
      <c r="C12" s="9" t="s">
        <v>43</v>
      </c>
      <c r="D12" s="9" t="s">
        <v>111</v>
      </c>
      <c r="E12" s="9" t="s">
        <v>76</v>
      </c>
      <c r="F12" s="10" t="n">
        <v>3.941</v>
      </c>
    </row>
    <row r="13" customFormat="false" ht="15" hidden="false" customHeight="false" outlineLevel="0" collapsed="false">
      <c r="A13" s="9" t="s">
        <v>497</v>
      </c>
      <c r="B13" s="9" t="s">
        <v>498</v>
      </c>
      <c r="C13" s="9" t="s">
        <v>43</v>
      </c>
      <c r="D13" s="9" t="s">
        <v>111</v>
      </c>
      <c r="E13" s="9" t="s">
        <v>83</v>
      </c>
      <c r="F13" s="10" t="n">
        <v>3.97</v>
      </c>
    </row>
    <row r="14" customFormat="false" ht="15" hidden="false" customHeight="false" outlineLevel="0" collapsed="false">
      <c r="A14" s="9" t="s">
        <v>499</v>
      </c>
      <c r="B14" s="9" t="s">
        <v>500</v>
      </c>
      <c r="C14" s="9" t="s">
        <v>44</v>
      </c>
      <c r="D14" s="9" t="s">
        <v>11</v>
      </c>
      <c r="E14" s="9" t="s">
        <v>76</v>
      </c>
      <c r="F14" s="10" t="n">
        <v>3.983</v>
      </c>
    </row>
    <row r="15" customFormat="false" ht="15" hidden="false" customHeight="false" outlineLevel="0" collapsed="false">
      <c r="A15" s="9" t="s">
        <v>501</v>
      </c>
      <c r="B15" s="9" t="s">
        <v>502</v>
      </c>
      <c r="C15" s="9" t="s">
        <v>44</v>
      </c>
      <c r="D15" s="9" t="s">
        <v>11</v>
      </c>
      <c r="E15" s="9" t="s">
        <v>76</v>
      </c>
      <c r="F15" s="10" t="n">
        <v>13.911</v>
      </c>
    </row>
    <row r="16" customFormat="false" ht="15" hidden="false" customHeight="false" outlineLevel="0" collapsed="false">
      <c r="A16" s="9" t="s">
        <v>503</v>
      </c>
      <c r="B16" s="9" t="s">
        <v>504</v>
      </c>
      <c r="C16" s="9" t="s">
        <v>44</v>
      </c>
      <c r="D16" s="9" t="s">
        <v>11</v>
      </c>
      <c r="E16" s="9" t="s">
        <v>83</v>
      </c>
      <c r="F16" s="10" t="n">
        <v>4.02</v>
      </c>
    </row>
    <row r="17" customFormat="false" ht="15" hidden="false" customHeight="false" outlineLevel="0" collapsed="false">
      <c r="A17" s="9" t="s">
        <v>505</v>
      </c>
      <c r="B17" s="9" t="s">
        <v>506</v>
      </c>
      <c r="C17" s="9" t="s">
        <v>44</v>
      </c>
      <c r="D17" s="9" t="s">
        <v>11</v>
      </c>
      <c r="E17" s="9" t="s">
        <v>83</v>
      </c>
      <c r="F17" s="10" t="n">
        <v>13.779</v>
      </c>
    </row>
    <row r="18" customFormat="false" ht="15" hidden="false" customHeight="false" outlineLevel="0" collapsed="false">
      <c r="A18" s="9" t="s">
        <v>507</v>
      </c>
      <c r="B18" s="9" t="s">
        <v>508</v>
      </c>
      <c r="C18" s="9" t="s">
        <v>45</v>
      </c>
      <c r="D18" s="9" t="s">
        <v>150</v>
      </c>
      <c r="E18" s="9" t="s">
        <v>76</v>
      </c>
      <c r="F18" s="10" t="n">
        <v>3.99</v>
      </c>
    </row>
    <row r="19" customFormat="false" ht="15" hidden="false" customHeight="false" outlineLevel="0" collapsed="false">
      <c r="A19" s="9" t="s">
        <v>509</v>
      </c>
      <c r="B19" s="9" t="s">
        <v>510</v>
      </c>
      <c r="C19" s="9" t="s">
        <v>45</v>
      </c>
      <c r="D19" s="9" t="s">
        <v>150</v>
      </c>
      <c r="E19" s="9" t="s">
        <v>83</v>
      </c>
      <c r="F19" s="10" t="n">
        <v>0.008</v>
      </c>
    </row>
    <row r="20" customFormat="false" ht="15" hidden="false" customHeight="false" outlineLevel="0" collapsed="false">
      <c r="A20" s="9" t="s">
        <v>511</v>
      </c>
      <c r="B20" s="9" t="s">
        <v>512</v>
      </c>
      <c r="C20" s="9" t="s">
        <v>45</v>
      </c>
      <c r="D20" s="9" t="s">
        <v>150</v>
      </c>
      <c r="E20" s="9" t="s">
        <v>83</v>
      </c>
      <c r="F20" s="10" t="n">
        <v>3.949</v>
      </c>
    </row>
    <row r="21" customFormat="false" ht="15" hidden="false" customHeight="false" outlineLevel="0" collapsed="false">
      <c r="A21" s="9" t="s">
        <v>513</v>
      </c>
      <c r="B21" s="9" t="s">
        <v>514</v>
      </c>
      <c r="C21" s="9" t="s">
        <v>46</v>
      </c>
      <c r="D21" s="9" t="s">
        <v>176</v>
      </c>
      <c r="E21" s="9" t="s">
        <v>76</v>
      </c>
      <c r="F21" s="10" t="n">
        <v>0.004</v>
      </c>
    </row>
    <row r="22" customFormat="false" ht="15" hidden="false" customHeight="false" outlineLevel="0" collapsed="false">
      <c r="A22" s="9" t="s">
        <v>515</v>
      </c>
      <c r="B22" s="9" t="s">
        <v>516</v>
      </c>
      <c r="C22" s="9" t="s">
        <v>46</v>
      </c>
      <c r="D22" s="9" t="s">
        <v>176</v>
      </c>
      <c r="E22" s="9" t="s">
        <v>76</v>
      </c>
      <c r="F22" s="10" t="n">
        <v>6.583</v>
      </c>
    </row>
    <row r="23" customFormat="false" ht="15" hidden="false" customHeight="false" outlineLevel="0" collapsed="false">
      <c r="A23" s="9" t="s">
        <v>517</v>
      </c>
      <c r="B23" s="9" t="s">
        <v>518</v>
      </c>
      <c r="C23" s="9" t="s">
        <v>46</v>
      </c>
      <c r="D23" s="9" t="s">
        <v>176</v>
      </c>
      <c r="E23" s="9" t="s">
        <v>76</v>
      </c>
      <c r="F23" s="10" t="n">
        <v>7.514</v>
      </c>
    </row>
    <row r="24" customFormat="false" ht="15" hidden="false" customHeight="false" outlineLevel="0" collapsed="false">
      <c r="A24" s="9" t="s">
        <v>519</v>
      </c>
      <c r="B24" s="9" t="s">
        <v>520</v>
      </c>
      <c r="C24" s="9" t="s">
        <v>46</v>
      </c>
      <c r="D24" s="9" t="s">
        <v>176</v>
      </c>
      <c r="E24" s="9" t="s">
        <v>76</v>
      </c>
      <c r="F24" s="10" t="n">
        <v>14.896</v>
      </c>
    </row>
    <row r="25" customFormat="false" ht="15" hidden="false" customHeight="false" outlineLevel="0" collapsed="false">
      <c r="A25" s="9" t="s">
        <v>521</v>
      </c>
      <c r="B25" s="9" t="s">
        <v>522</v>
      </c>
      <c r="C25" s="9" t="s">
        <v>46</v>
      </c>
      <c r="D25" s="9" t="s">
        <v>176</v>
      </c>
      <c r="E25" s="9" t="s">
        <v>83</v>
      </c>
      <c r="F25" s="10" t="n">
        <v>6.582</v>
      </c>
    </row>
    <row r="26" customFormat="false" ht="15" hidden="false" customHeight="false" outlineLevel="0" collapsed="false">
      <c r="A26" s="9" t="s">
        <v>523</v>
      </c>
      <c r="B26" s="9" t="s">
        <v>524</v>
      </c>
      <c r="C26" s="9" t="s">
        <v>46</v>
      </c>
      <c r="D26" s="9" t="s">
        <v>176</v>
      </c>
      <c r="E26" s="9" t="s">
        <v>83</v>
      </c>
      <c r="F26" s="10" t="n">
        <v>7.47</v>
      </c>
    </row>
    <row r="27" customFormat="false" ht="15" hidden="false" customHeight="false" outlineLevel="0" collapsed="false">
      <c r="A27" s="9" t="s">
        <v>525</v>
      </c>
      <c r="B27" s="9" t="s">
        <v>526</v>
      </c>
      <c r="C27" s="9" t="s">
        <v>46</v>
      </c>
      <c r="D27" s="9" t="s">
        <v>176</v>
      </c>
      <c r="E27" s="9" t="s">
        <v>83</v>
      </c>
      <c r="F27" s="10" t="n">
        <v>14.86</v>
      </c>
    </row>
    <row r="28" customFormat="false" ht="15" hidden="false" customHeight="false" outlineLevel="0" collapsed="false">
      <c r="A28" s="9" t="s">
        <v>527</v>
      </c>
      <c r="B28" s="9" t="s">
        <v>528</v>
      </c>
      <c r="C28" s="9" t="s">
        <v>47</v>
      </c>
      <c r="D28" s="9" t="s">
        <v>197</v>
      </c>
      <c r="E28" s="9" t="s">
        <v>76</v>
      </c>
      <c r="F28" s="10" t="n">
        <v>5.432</v>
      </c>
    </row>
    <row r="29" customFormat="false" ht="15" hidden="false" customHeight="false" outlineLevel="0" collapsed="false">
      <c r="A29" s="9" t="s">
        <v>529</v>
      </c>
      <c r="B29" s="9" t="s">
        <v>530</v>
      </c>
      <c r="C29" s="9" t="s">
        <v>47</v>
      </c>
      <c r="D29" s="9" t="s">
        <v>197</v>
      </c>
      <c r="E29" s="9" t="s">
        <v>83</v>
      </c>
      <c r="F29" s="10" t="n">
        <v>5.976</v>
      </c>
    </row>
    <row r="30" customFormat="false" ht="15" hidden="false" customHeight="false" outlineLevel="0" collapsed="false">
      <c r="A30" s="9" t="s">
        <v>531</v>
      </c>
      <c r="B30" s="9" t="s">
        <v>532</v>
      </c>
      <c r="C30" s="9" t="s">
        <v>48</v>
      </c>
      <c r="D30" s="9" t="s">
        <v>209</v>
      </c>
      <c r="E30" s="9" t="s">
        <v>210</v>
      </c>
      <c r="F30" s="10" t="n">
        <v>1.7</v>
      </c>
    </row>
    <row r="31" customFormat="false" ht="15" hidden="false" customHeight="false" outlineLevel="0" collapsed="false">
      <c r="A31" s="9" t="s">
        <v>533</v>
      </c>
      <c r="B31" s="9" t="s">
        <v>534</v>
      </c>
      <c r="C31" s="9" t="s">
        <v>48</v>
      </c>
      <c r="D31" s="9" t="s">
        <v>216</v>
      </c>
      <c r="E31" s="9" t="s">
        <v>210</v>
      </c>
      <c r="F31" s="10" t="n">
        <v>6.316</v>
      </c>
    </row>
    <row r="32" customFormat="false" ht="15" hidden="false" customHeight="false" outlineLevel="0" collapsed="false">
      <c r="A32" s="9" t="s">
        <v>535</v>
      </c>
      <c r="B32" s="9" t="s">
        <v>536</v>
      </c>
      <c r="C32" s="9" t="s">
        <v>48</v>
      </c>
      <c r="D32" s="9" t="s">
        <v>216</v>
      </c>
      <c r="E32" s="9" t="s">
        <v>212</v>
      </c>
      <c r="F32" s="10" t="n">
        <v>4.828</v>
      </c>
    </row>
    <row r="33" customFormat="false" ht="15" hidden="false" customHeight="false" outlineLevel="0" collapsed="false">
      <c r="A33" s="9" t="s">
        <v>537</v>
      </c>
      <c r="B33" s="9" t="s">
        <v>538</v>
      </c>
      <c r="C33" s="9" t="s">
        <v>48</v>
      </c>
      <c r="D33" s="9" t="s">
        <v>227</v>
      </c>
      <c r="E33" s="9" t="s">
        <v>212</v>
      </c>
      <c r="F33" s="10" t="n">
        <v>0.978</v>
      </c>
    </row>
    <row r="34" customFormat="false" ht="15" hidden="false" customHeight="false" outlineLevel="0" collapsed="false">
      <c r="A34" s="9" t="s">
        <v>539</v>
      </c>
      <c r="B34" s="9" t="s">
        <v>540</v>
      </c>
      <c r="C34" s="9" t="s">
        <v>48</v>
      </c>
      <c r="D34" s="9" t="s">
        <v>234</v>
      </c>
      <c r="E34" s="9" t="s">
        <v>210</v>
      </c>
      <c r="F34" s="10" t="n">
        <v>1.256</v>
      </c>
    </row>
    <row r="35" customFormat="false" ht="15" hidden="false" customHeight="false" outlineLevel="0" collapsed="false">
      <c r="A35" s="9" t="s">
        <v>541</v>
      </c>
      <c r="B35" s="9" t="s">
        <v>542</v>
      </c>
      <c r="C35" s="9" t="s">
        <v>48</v>
      </c>
      <c r="D35" s="9" t="s">
        <v>234</v>
      </c>
      <c r="E35" s="9" t="s">
        <v>210</v>
      </c>
      <c r="F35" s="10" t="n">
        <v>8.702</v>
      </c>
    </row>
    <row r="36" customFormat="false" ht="15" hidden="false" customHeight="false" outlineLevel="0" collapsed="false">
      <c r="A36" s="9" t="s">
        <v>543</v>
      </c>
      <c r="B36" s="9" t="s">
        <v>544</v>
      </c>
      <c r="C36" s="9" t="s">
        <v>48</v>
      </c>
      <c r="D36" s="9" t="s">
        <v>234</v>
      </c>
      <c r="E36" s="9" t="s">
        <v>210</v>
      </c>
      <c r="F36" s="10" t="n">
        <v>16.049</v>
      </c>
    </row>
    <row r="37" customFormat="false" ht="15" hidden="false" customHeight="false" outlineLevel="0" collapsed="false">
      <c r="A37" s="9" t="s">
        <v>545</v>
      </c>
      <c r="B37" s="9" t="s">
        <v>546</v>
      </c>
      <c r="C37" s="9" t="s">
        <v>48</v>
      </c>
      <c r="D37" s="9" t="s">
        <v>234</v>
      </c>
      <c r="E37" s="9" t="s">
        <v>210</v>
      </c>
      <c r="F37" s="10" t="n">
        <v>23.424</v>
      </c>
    </row>
    <row r="38" customFormat="false" ht="15" hidden="false" customHeight="false" outlineLevel="0" collapsed="false">
      <c r="A38" s="9" t="s">
        <v>547</v>
      </c>
      <c r="B38" s="9" t="s">
        <v>548</v>
      </c>
      <c r="C38" s="9" t="s">
        <v>48</v>
      </c>
      <c r="D38" s="9" t="s">
        <v>234</v>
      </c>
      <c r="E38" s="9" t="s">
        <v>210</v>
      </c>
      <c r="F38" s="10" t="n">
        <v>30.814</v>
      </c>
    </row>
    <row r="39" customFormat="false" ht="15" hidden="false" customHeight="false" outlineLevel="0" collapsed="false">
      <c r="A39" s="9" t="s">
        <v>549</v>
      </c>
      <c r="B39" s="9" t="s">
        <v>550</v>
      </c>
      <c r="C39" s="9" t="s">
        <v>48</v>
      </c>
      <c r="D39" s="9" t="s">
        <v>234</v>
      </c>
      <c r="E39" s="9" t="s">
        <v>212</v>
      </c>
      <c r="F39" s="10" t="n">
        <v>5.655</v>
      </c>
    </row>
    <row r="40" customFormat="false" ht="15" hidden="false" customHeight="false" outlineLevel="0" collapsed="false">
      <c r="A40" s="9" t="s">
        <v>551</v>
      </c>
      <c r="B40" s="9" t="s">
        <v>552</v>
      </c>
      <c r="C40" s="9" t="s">
        <v>48</v>
      </c>
      <c r="D40" s="9" t="s">
        <v>250</v>
      </c>
      <c r="E40" s="9" t="s">
        <v>210</v>
      </c>
      <c r="F40" s="10" t="n">
        <v>0.917</v>
      </c>
    </row>
    <row r="41" customFormat="false" ht="15" hidden="false" customHeight="false" outlineLevel="0" collapsed="false">
      <c r="A41" s="9" t="s">
        <v>553</v>
      </c>
      <c r="B41" s="9" t="s">
        <v>554</v>
      </c>
      <c r="C41" s="9" t="s">
        <v>48</v>
      </c>
      <c r="D41" s="9" t="s">
        <v>268</v>
      </c>
      <c r="E41" s="9" t="s">
        <v>210</v>
      </c>
      <c r="F41" s="10" t="n">
        <v>7.638</v>
      </c>
    </row>
    <row r="42" customFormat="false" ht="15" hidden="false" customHeight="false" outlineLevel="0" collapsed="false">
      <c r="A42" s="9" t="s">
        <v>555</v>
      </c>
      <c r="B42" s="9" t="s">
        <v>556</v>
      </c>
      <c r="C42" s="9" t="s">
        <v>48</v>
      </c>
      <c r="D42" s="9" t="s">
        <v>268</v>
      </c>
      <c r="E42" s="9" t="s">
        <v>212</v>
      </c>
      <c r="F42" s="10" t="n">
        <v>4.677</v>
      </c>
    </row>
    <row r="43" customFormat="false" ht="15" hidden="false" customHeight="false" outlineLevel="0" collapsed="false">
      <c r="A43" s="9" t="s">
        <v>557</v>
      </c>
      <c r="B43" s="9" t="s">
        <v>558</v>
      </c>
      <c r="C43" s="9" t="s">
        <v>48</v>
      </c>
      <c r="D43" s="9" t="s">
        <v>273</v>
      </c>
      <c r="E43" s="9" t="s">
        <v>210</v>
      </c>
      <c r="F43" s="10" t="n">
        <v>0.752</v>
      </c>
    </row>
    <row r="44" customFormat="false" ht="15" hidden="false" customHeight="false" outlineLevel="0" collapsed="false">
      <c r="A44" s="9" t="s">
        <v>559</v>
      </c>
      <c r="B44" s="9" t="s">
        <v>560</v>
      </c>
      <c r="C44" s="9" t="s">
        <v>48</v>
      </c>
      <c r="D44" s="9" t="s">
        <v>284</v>
      </c>
      <c r="E44" s="9" t="s">
        <v>212</v>
      </c>
      <c r="F44" s="10" t="n">
        <v>3.642</v>
      </c>
    </row>
    <row r="45" customFormat="false" ht="15" hidden="false" customHeight="false" outlineLevel="0" collapsed="false">
      <c r="A45" s="9" t="s">
        <v>561</v>
      </c>
      <c r="B45" s="9" t="s">
        <v>562</v>
      </c>
      <c r="C45" s="9" t="s">
        <v>48</v>
      </c>
      <c r="D45" s="9" t="s">
        <v>290</v>
      </c>
      <c r="E45" s="9" t="s">
        <v>210</v>
      </c>
      <c r="F45" s="10" t="n">
        <v>4.097</v>
      </c>
    </row>
    <row r="46" customFormat="false" ht="15" hidden="false" customHeight="false" outlineLevel="0" collapsed="false">
      <c r="A46" s="9" t="s">
        <v>563</v>
      </c>
      <c r="B46" s="9" t="s">
        <v>564</v>
      </c>
      <c r="C46" s="9" t="s">
        <v>48</v>
      </c>
      <c r="D46" s="9" t="s">
        <v>290</v>
      </c>
      <c r="E46" s="9" t="s">
        <v>210</v>
      </c>
      <c r="F46" s="10" t="n">
        <v>10.761</v>
      </c>
    </row>
    <row r="47" customFormat="false" ht="15" hidden="false" customHeight="false" outlineLevel="0" collapsed="false">
      <c r="A47" s="9" t="s">
        <v>565</v>
      </c>
      <c r="B47" s="9" t="s">
        <v>566</v>
      </c>
      <c r="C47" s="9" t="s">
        <v>48</v>
      </c>
      <c r="D47" s="9" t="s">
        <v>290</v>
      </c>
      <c r="E47" s="9" t="s">
        <v>210</v>
      </c>
      <c r="F47" s="10" t="n">
        <v>19.624</v>
      </c>
    </row>
    <row r="48" customFormat="false" ht="15" hidden="false" customHeight="false" outlineLevel="0" collapsed="false">
      <c r="A48" s="9" t="s">
        <v>567</v>
      </c>
      <c r="B48" s="9" t="s">
        <v>568</v>
      </c>
      <c r="C48" s="9" t="s">
        <v>48</v>
      </c>
      <c r="D48" s="9" t="s">
        <v>290</v>
      </c>
      <c r="E48" s="9" t="s">
        <v>210</v>
      </c>
      <c r="F48" s="10" t="n">
        <v>26.245</v>
      </c>
    </row>
    <row r="49" customFormat="false" ht="15" hidden="false" customHeight="false" outlineLevel="0" collapsed="false">
      <c r="A49" s="9" t="s">
        <v>569</v>
      </c>
      <c r="B49" s="9" t="s">
        <v>570</v>
      </c>
      <c r="C49" s="9" t="s">
        <v>48</v>
      </c>
      <c r="D49" s="9" t="s">
        <v>290</v>
      </c>
      <c r="E49" s="9" t="s">
        <v>212</v>
      </c>
      <c r="F49" s="10" t="n">
        <v>3.273</v>
      </c>
    </row>
    <row r="50" customFormat="false" ht="15" hidden="false" customHeight="false" outlineLevel="0" collapsed="false">
      <c r="A50" s="9" t="s">
        <v>571</v>
      </c>
      <c r="B50" s="9" t="s">
        <v>572</v>
      </c>
      <c r="C50" s="9" t="s">
        <v>48</v>
      </c>
      <c r="D50" s="9" t="s">
        <v>305</v>
      </c>
      <c r="E50" s="9" t="s">
        <v>210</v>
      </c>
      <c r="F50" s="10" t="n">
        <v>4.038</v>
      </c>
    </row>
    <row r="51" customFormat="false" ht="15" hidden="false" customHeight="false" outlineLevel="0" collapsed="false">
      <c r="A51" s="9" t="s">
        <v>573</v>
      </c>
      <c r="B51" s="9" t="s">
        <v>574</v>
      </c>
      <c r="C51" s="9" t="s">
        <v>49</v>
      </c>
      <c r="D51" s="9" t="s">
        <v>322</v>
      </c>
      <c r="E51" s="9" t="s">
        <v>210</v>
      </c>
      <c r="F51" s="10" t="n">
        <v>3.604</v>
      </c>
    </row>
    <row r="52" customFormat="false" ht="15" hidden="false" customHeight="false" outlineLevel="0" collapsed="false">
      <c r="A52" s="9" t="s">
        <v>575</v>
      </c>
      <c r="B52" s="9" t="s">
        <v>576</v>
      </c>
      <c r="C52" s="9" t="s">
        <v>49</v>
      </c>
      <c r="D52" s="9" t="s">
        <v>322</v>
      </c>
      <c r="E52" s="9" t="s">
        <v>212</v>
      </c>
      <c r="F52" s="10" t="n">
        <v>2.019</v>
      </c>
    </row>
    <row r="53" customFormat="false" ht="15" hidden="false" customHeight="false" outlineLevel="0" collapsed="false">
      <c r="A53" s="9" t="s">
        <v>577</v>
      </c>
      <c r="B53" s="9" t="s">
        <v>578</v>
      </c>
      <c r="C53" s="9" t="s">
        <v>49</v>
      </c>
      <c r="D53" s="9" t="s">
        <v>328</v>
      </c>
      <c r="E53" s="9" t="s">
        <v>210</v>
      </c>
      <c r="F53" s="10" t="n">
        <v>5.407</v>
      </c>
    </row>
    <row r="54" customFormat="false" ht="15" hidden="false" customHeight="false" outlineLevel="0" collapsed="false">
      <c r="A54" s="9" t="s">
        <v>579</v>
      </c>
      <c r="B54" s="9" t="s">
        <v>580</v>
      </c>
      <c r="C54" s="9" t="s">
        <v>49</v>
      </c>
      <c r="D54" s="9" t="s">
        <v>337</v>
      </c>
      <c r="E54" s="9" t="s">
        <v>210</v>
      </c>
      <c r="F54" s="10" t="n">
        <v>1.84</v>
      </c>
    </row>
    <row r="55" customFormat="false" ht="15" hidden="false" customHeight="false" outlineLevel="0" collapsed="false">
      <c r="A55" s="9" t="s">
        <v>581</v>
      </c>
      <c r="B55" s="9" t="s">
        <v>582</v>
      </c>
      <c r="C55" s="9" t="s">
        <v>49</v>
      </c>
      <c r="D55" s="9" t="s">
        <v>337</v>
      </c>
      <c r="E55" s="9" t="s">
        <v>210</v>
      </c>
      <c r="F55" s="10" t="n">
        <v>5.655</v>
      </c>
    </row>
    <row r="56" customFormat="false" ht="15" hidden="false" customHeight="false" outlineLevel="0" collapsed="false">
      <c r="A56" s="9" t="s">
        <v>583</v>
      </c>
      <c r="B56" s="9" t="s">
        <v>584</v>
      </c>
      <c r="C56" s="9" t="s">
        <v>49</v>
      </c>
      <c r="D56" s="9" t="s">
        <v>337</v>
      </c>
      <c r="E56" s="9" t="s">
        <v>210</v>
      </c>
      <c r="F56" s="10" t="n">
        <v>6.804</v>
      </c>
    </row>
    <row r="57" customFormat="false" ht="15" hidden="false" customHeight="false" outlineLevel="0" collapsed="false">
      <c r="A57" s="9" t="s">
        <v>585</v>
      </c>
      <c r="B57" s="9" t="s">
        <v>586</v>
      </c>
      <c r="C57" s="9" t="s">
        <v>49</v>
      </c>
      <c r="D57" s="9" t="s">
        <v>337</v>
      </c>
      <c r="E57" s="9" t="s">
        <v>210</v>
      </c>
      <c r="F57" s="10" t="n">
        <v>10.718</v>
      </c>
    </row>
    <row r="58" customFormat="false" ht="15" hidden="false" customHeight="false" outlineLevel="0" collapsed="false">
      <c r="A58" s="9" t="s">
        <v>587</v>
      </c>
      <c r="B58" s="9" t="s">
        <v>588</v>
      </c>
      <c r="C58" s="9" t="s">
        <v>49</v>
      </c>
      <c r="D58" s="9" t="s">
        <v>337</v>
      </c>
      <c r="E58" s="9" t="s">
        <v>210</v>
      </c>
      <c r="F58" s="10" t="n">
        <v>12.819</v>
      </c>
    </row>
    <row r="59" customFormat="false" ht="15" hidden="false" customHeight="false" outlineLevel="0" collapsed="false">
      <c r="A59" s="9" t="s">
        <v>589</v>
      </c>
      <c r="B59" s="9" t="s">
        <v>590</v>
      </c>
      <c r="C59" s="9" t="s">
        <v>49</v>
      </c>
      <c r="D59" s="9" t="s">
        <v>337</v>
      </c>
      <c r="E59" s="9" t="s">
        <v>212</v>
      </c>
      <c r="F59" s="10" t="n">
        <v>2.144</v>
      </c>
    </row>
    <row r="60" customFormat="false" ht="15" hidden="false" customHeight="false" outlineLevel="0" collapsed="false">
      <c r="A60" s="9" t="s">
        <v>591</v>
      </c>
      <c r="B60" s="9" t="s">
        <v>592</v>
      </c>
      <c r="C60" s="9" t="s">
        <v>49</v>
      </c>
      <c r="D60" s="9" t="s">
        <v>337</v>
      </c>
      <c r="E60" s="9" t="s">
        <v>212</v>
      </c>
      <c r="F60" s="10" t="n">
        <v>5.796</v>
      </c>
    </row>
    <row r="61" customFormat="false" ht="15" hidden="false" customHeight="false" outlineLevel="0" collapsed="false">
      <c r="A61" s="9" t="s">
        <v>593</v>
      </c>
      <c r="B61" s="9" t="s">
        <v>594</v>
      </c>
      <c r="C61" s="9" t="s">
        <v>49</v>
      </c>
      <c r="D61" s="9" t="s">
        <v>352</v>
      </c>
      <c r="E61" s="9" t="s">
        <v>210</v>
      </c>
      <c r="F61" s="10" t="n">
        <v>2.145</v>
      </c>
    </row>
    <row r="62" customFormat="false" ht="15" hidden="false" customHeight="false" outlineLevel="0" collapsed="false">
      <c r="A62" s="9" t="s">
        <v>595</v>
      </c>
      <c r="B62" s="9" t="s">
        <v>596</v>
      </c>
      <c r="C62" s="9" t="s">
        <v>49</v>
      </c>
      <c r="D62" s="9" t="s">
        <v>352</v>
      </c>
      <c r="E62" s="9" t="s">
        <v>210</v>
      </c>
      <c r="F62" s="10" t="n">
        <v>2.991</v>
      </c>
    </row>
    <row r="63" customFormat="false" ht="15" hidden="false" customHeight="false" outlineLevel="0" collapsed="false">
      <c r="A63" s="9" t="s">
        <v>597</v>
      </c>
      <c r="B63" s="9" t="s">
        <v>598</v>
      </c>
      <c r="C63" s="9" t="s">
        <v>49</v>
      </c>
      <c r="D63" s="9" t="s">
        <v>352</v>
      </c>
      <c r="E63" s="9" t="s">
        <v>212</v>
      </c>
      <c r="F63" s="10" t="n">
        <v>3.813</v>
      </c>
    </row>
    <row r="64" customFormat="false" ht="15" hidden="false" customHeight="false" outlineLevel="0" collapsed="false">
      <c r="A64" s="9" t="s">
        <v>599</v>
      </c>
      <c r="B64" s="9" t="s">
        <v>600</v>
      </c>
      <c r="C64" s="9" t="s">
        <v>49</v>
      </c>
      <c r="D64" s="9" t="s">
        <v>352</v>
      </c>
      <c r="E64" s="9" t="s">
        <v>212</v>
      </c>
      <c r="F64" s="10" t="n">
        <v>6.062</v>
      </c>
    </row>
    <row r="65" customFormat="false" ht="15" hidden="false" customHeight="false" outlineLevel="0" collapsed="false">
      <c r="A65" s="9" t="s">
        <v>601</v>
      </c>
      <c r="B65" s="9" t="s">
        <v>602</v>
      </c>
      <c r="C65" s="9" t="s">
        <v>49</v>
      </c>
      <c r="D65" s="9" t="s">
        <v>352</v>
      </c>
      <c r="E65" s="9" t="s">
        <v>212</v>
      </c>
      <c r="F65" s="10" t="n">
        <v>9.101</v>
      </c>
    </row>
    <row r="66" customFormat="false" ht="15" hidden="false" customHeight="false" outlineLevel="0" collapsed="false">
      <c r="A66" s="9" t="s">
        <v>603</v>
      </c>
      <c r="B66" s="9" t="s">
        <v>604</v>
      </c>
      <c r="C66" s="9" t="s">
        <v>49</v>
      </c>
      <c r="D66" s="9" t="s">
        <v>352</v>
      </c>
      <c r="E66" s="9" t="s">
        <v>212</v>
      </c>
      <c r="F66" s="10" t="n">
        <v>11.922</v>
      </c>
    </row>
    <row r="67" customFormat="false" ht="15" hidden="false" customHeight="false" outlineLevel="0" collapsed="false">
      <c r="A67" s="9" t="s">
        <v>605</v>
      </c>
      <c r="B67" s="9" t="s">
        <v>606</v>
      </c>
      <c r="C67" s="9" t="s">
        <v>49</v>
      </c>
      <c r="D67" s="9" t="s">
        <v>352</v>
      </c>
      <c r="E67" s="9" t="s">
        <v>212</v>
      </c>
      <c r="F67" s="10" t="n">
        <v>14.566</v>
      </c>
    </row>
    <row r="68" customFormat="false" ht="15" hidden="false" customHeight="false" outlineLevel="0" collapsed="false">
      <c r="A68" s="9" t="s">
        <v>607</v>
      </c>
      <c r="B68" s="9" t="s">
        <v>608</v>
      </c>
      <c r="C68" s="9" t="s">
        <v>49</v>
      </c>
      <c r="D68" s="9" t="s">
        <v>368</v>
      </c>
      <c r="E68" s="9" t="s">
        <v>210</v>
      </c>
      <c r="F68" s="10" t="n">
        <v>1.213</v>
      </c>
    </row>
    <row r="69" customFormat="false" ht="15" hidden="false" customHeight="false" outlineLevel="0" collapsed="false">
      <c r="A69" s="9" t="s">
        <v>609</v>
      </c>
      <c r="B69" s="9" t="s">
        <v>610</v>
      </c>
      <c r="C69" s="9" t="s">
        <v>49</v>
      </c>
      <c r="D69" s="9" t="s">
        <v>368</v>
      </c>
      <c r="E69" s="9" t="s">
        <v>212</v>
      </c>
      <c r="F69" s="10" t="n">
        <v>3.996</v>
      </c>
    </row>
    <row r="70" customFormat="false" ht="15" hidden="false" customHeight="false" outlineLevel="0" collapsed="false">
      <c r="A70" s="9" t="s">
        <v>611</v>
      </c>
      <c r="B70" s="9" t="s">
        <v>612</v>
      </c>
      <c r="C70" s="9" t="s">
        <v>49</v>
      </c>
      <c r="D70" s="9" t="s">
        <v>378</v>
      </c>
      <c r="E70" s="9" t="s">
        <v>212</v>
      </c>
      <c r="F70" s="10" t="n">
        <v>0.715</v>
      </c>
    </row>
    <row r="71" customFormat="false" ht="15" hidden="false" customHeight="false" outlineLevel="0" collapsed="false">
      <c r="A71" s="9" t="s">
        <v>613</v>
      </c>
      <c r="B71" s="9" t="s">
        <v>614</v>
      </c>
      <c r="C71" s="9" t="s">
        <v>49</v>
      </c>
      <c r="D71" s="9" t="s">
        <v>378</v>
      </c>
      <c r="E71" s="9" t="s">
        <v>212</v>
      </c>
      <c r="F71" s="10" t="n">
        <v>5.503</v>
      </c>
    </row>
    <row r="72" customFormat="false" ht="15" hidden="false" customHeight="false" outlineLevel="0" collapsed="false">
      <c r="A72" s="9" t="s">
        <v>615</v>
      </c>
      <c r="B72" s="9" t="s">
        <v>616</v>
      </c>
      <c r="C72" s="9" t="s">
        <v>49</v>
      </c>
      <c r="D72" s="9" t="s">
        <v>383</v>
      </c>
      <c r="E72" s="9" t="s">
        <v>210</v>
      </c>
      <c r="F72" s="10" t="n">
        <v>1.749</v>
      </c>
    </row>
    <row r="73" customFormat="false" ht="15" hidden="false" customHeight="false" outlineLevel="0" collapsed="false">
      <c r="A73" s="9" t="s">
        <v>617</v>
      </c>
      <c r="B73" s="9" t="s">
        <v>618</v>
      </c>
      <c r="C73" s="9" t="s">
        <v>49</v>
      </c>
      <c r="D73" s="9" t="s">
        <v>383</v>
      </c>
      <c r="E73" s="9" t="s">
        <v>212</v>
      </c>
      <c r="F73" s="10" t="n">
        <v>3.716</v>
      </c>
    </row>
    <row r="74" customFormat="false" ht="15" hidden="false" customHeight="false" outlineLevel="0" collapsed="false">
      <c r="A74" s="9" t="s">
        <v>619</v>
      </c>
      <c r="B74" s="9" t="s">
        <v>620</v>
      </c>
      <c r="C74" s="9" t="s">
        <v>49</v>
      </c>
      <c r="D74" s="9" t="s">
        <v>393</v>
      </c>
      <c r="E74" s="9" t="s">
        <v>212</v>
      </c>
      <c r="F74" s="10" t="n">
        <v>3.129</v>
      </c>
    </row>
    <row r="75" customFormat="false" ht="15" hidden="false" customHeight="false" outlineLevel="0" collapsed="false">
      <c r="A75" s="9" t="s">
        <v>621</v>
      </c>
      <c r="B75" s="9" t="s">
        <v>622</v>
      </c>
      <c r="C75" s="9" t="s">
        <v>49</v>
      </c>
      <c r="D75" s="9" t="s">
        <v>393</v>
      </c>
      <c r="E75" s="9" t="s">
        <v>212</v>
      </c>
      <c r="F75" s="10" t="n">
        <v>5.089</v>
      </c>
    </row>
    <row r="76" customFormat="false" ht="15" hidden="false" customHeight="false" outlineLevel="0" collapsed="false">
      <c r="A76" s="9" t="s">
        <v>623</v>
      </c>
      <c r="B76" s="9" t="s">
        <v>624</v>
      </c>
      <c r="C76" s="9" t="s">
        <v>49</v>
      </c>
      <c r="D76" s="9" t="s">
        <v>393</v>
      </c>
      <c r="E76" s="9" t="s">
        <v>212</v>
      </c>
      <c r="F76" s="10" t="n">
        <v>9.742</v>
      </c>
    </row>
    <row r="77" customFormat="false" ht="15" hidden="false" customHeight="false" outlineLevel="0" collapsed="false">
      <c r="A77" s="9" t="s">
        <v>625</v>
      </c>
      <c r="B77" s="9" t="s">
        <v>626</v>
      </c>
      <c r="C77" s="9" t="s">
        <v>49</v>
      </c>
      <c r="D77" s="9" t="s">
        <v>393</v>
      </c>
      <c r="E77" s="9" t="s">
        <v>212</v>
      </c>
      <c r="F77" s="10" t="n">
        <v>11.336</v>
      </c>
    </row>
    <row r="78" customFormat="false" ht="15" hidden="false" customHeight="false" outlineLevel="0" collapsed="false">
      <c r="A78" s="9" t="s">
        <v>627</v>
      </c>
      <c r="B78" s="9" t="s">
        <v>628</v>
      </c>
      <c r="C78" s="9" t="s">
        <v>49</v>
      </c>
      <c r="D78" s="9" t="s">
        <v>405</v>
      </c>
      <c r="E78" s="9" t="s">
        <v>210</v>
      </c>
      <c r="F78" s="10" t="n">
        <v>3.615</v>
      </c>
    </row>
    <row r="79" customFormat="false" ht="15" hidden="false" customHeight="false" outlineLevel="0" collapsed="false">
      <c r="A79" s="9" t="s">
        <v>629</v>
      </c>
      <c r="B79" s="9" t="s">
        <v>630</v>
      </c>
      <c r="C79" s="9" t="s">
        <v>49</v>
      </c>
      <c r="D79" s="9" t="s">
        <v>405</v>
      </c>
      <c r="E79" s="9" t="s">
        <v>210</v>
      </c>
      <c r="F79" s="10" t="n">
        <v>4.433</v>
      </c>
    </row>
    <row r="80" customFormat="false" ht="15" hidden="false" customHeight="false" outlineLevel="0" collapsed="false">
      <c r="A80" s="9" t="s">
        <v>631</v>
      </c>
      <c r="B80" s="9" t="s">
        <v>632</v>
      </c>
      <c r="C80" s="9" t="s">
        <v>49</v>
      </c>
      <c r="D80" s="9" t="s">
        <v>405</v>
      </c>
      <c r="E80" s="9" t="s">
        <v>212</v>
      </c>
      <c r="F80" s="10" t="n">
        <v>2.188</v>
      </c>
    </row>
    <row r="81" customFormat="false" ht="15" hidden="false" customHeight="false" outlineLevel="0" collapsed="false">
      <c r="A81" s="9" t="s">
        <v>633</v>
      </c>
      <c r="B81" s="9" t="s">
        <v>634</v>
      </c>
      <c r="C81" s="9" t="s">
        <v>49</v>
      </c>
      <c r="D81" s="9" t="s">
        <v>405</v>
      </c>
      <c r="E81" s="9" t="s">
        <v>212</v>
      </c>
      <c r="F81" s="10" t="n">
        <v>4.564</v>
      </c>
    </row>
    <row r="82" customFormat="false" ht="15" hidden="false" customHeight="false" outlineLevel="0" collapsed="false">
      <c r="A82" s="9" t="s">
        <v>635</v>
      </c>
      <c r="B82" s="9" t="s">
        <v>636</v>
      </c>
      <c r="C82" s="9" t="s">
        <v>49</v>
      </c>
      <c r="D82" s="9" t="s">
        <v>415</v>
      </c>
      <c r="E82" s="9" t="s">
        <v>210</v>
      </c>
      <c r="F82" s="10" t="n">
        <v>2.562</v>
      </c>
    </row>
    <row r="83" customFormat="false" ht="15" hidden="false" customHeight="false" outlineLevel="0" collapsed="false">
      <c r="A83" s="9" t="s">
        <v>637</v>
      </c>
      <c r="B83" s="9" t="s">
        <v>638</v>
      </c>
      <c r="C83" s="9" t="s">
        <v>49</v>
      </c>
      <c r="D83" s="9" t="s">
        <v>415</v>
      </c>
      <c r="E83" s="9" t="s">
        <v>210</v>
      </c>
      <c r="F83" s="10" t="n">
        <v>4.642</v>
      </c>
    </row>
    <row r="84" customFormat="false" ht="15" hidden="false" customHeight="false" outlineLevel="0" collapsed="false">
      <c r="A84" s="9" t="s">
        <v>639</v>
      </c>
      <c r="B84" s="9" t="s">
        <v>640</v>
      </c>
      <c r="C84" s="9" t="s">
        <v>49</v>
      </c>
      <c r="D84" s="9" t="s">
        <v>415</v>
      </c>
      <c r="E84" s="9" t="s">
        <v>210</v>
      </c>
      <c r="F84" s="10" t="n">
        <v>8.379</v>
      </c>
    </row>
    <row r="85" customFormat="false" ht="15" hidden="false" customHeight="false" outlineLevel="0" collapsed="false">
      <c r="A85" s="9" t="s">
        <v>641</v>
      </c>
      <c r="B85" s="9" t="s">
        <v>642</v>
      </c>
      <c r="C85" s="9" t="s">
        <v>49</v>
      </c>
      <c r="D85" s="9" t="s">
        <v>415</v>
      </c>
      <c r="E85" s="9" t="s">
        <v>210</v>
      </c>
      <c r="F85" s="10" t="n">
        <v>9.74</v>
      </c>
    </row>
    <row r="86" customFormat="false" ht="15" hidden="false" customHeight="false" outlineLevel="0" collapsed="false">
      <c r="A86" s="9" t="s">
        <v>643</v>
      </c>
      <c r="B86" s="9" t="s">
        <v>644</v>
      </c>
      <c r="C86" s="9" t="s">
        <v>49</v>
      </c>
      <c r="D86" s="9" t="s">
        <v>415</v>
      </c>
      <c r="E86" s="9" t="s">
        <v>210</v>
      </c>
      <c r="F86" s="10" t="n">
        <v>13.569</v>
      </c>
    </row>
    <row r="87" customFormat="false" ht="15" hidden="false" customHeight="false" outlineLevel="0" collapsed="false">
      <c r="A87" s="9" t="s">
        <v>645</v>
      </c>
      <c r="B87" s="9" t="s">
        <v>646</v>
      </c>
      <c r="C87" s="9" t="s">
        <v>49</v>
      </c>
      <c r="D87" s="9" t="s">
        <v>415</v>
      </c>
      <c r="E87" s="9" t="s">
        <v>212</v>
      </c>
      <c r="F87" s="10" t="n">
        <v>3.102</v>
      </c>
    </row>
    <row r="88" customFormat="false" ht="15" hidden="false" customHeight="false" outlineLevel="0" collapsed="false">
      <c r="A88" s="9" t="s">
        <v>647</v>
      </c>
      <c r="B88" s="9" t="s">
        <v>648</v>
      </c>
      <c r="C88" s="9" t="s">
        <v>49</v>
      </c>
      <c r="D88" s="9" t="s">
        <v>427</v>
      </c>
      <c r="E88" s="9" t="s">
        <v>210</v>
      </c>
      <c r="F88" s="10" t="n">
        <v>3.205</v>
      </c>
    </row>
    <row r="89" customFormat="false" ht="15" hidden="false" customHeight="false" outlineLevel="0" collapsed="false">
      <c r="A89" s="9" t="s">
        <v>649</v>
      </c>
      <c r="B89" s="9" t="s">
        <v>650</v>
      </c>
      <c r="C89" s="9" t="s">
        <v>49</v>
      </c>
      <c r="D89" s="9" t="s">
        <v>427</v>
      </c>
      <c r="E89" s="9" t="s">
        <v>212</v>
      </c>
      <c r="F89" s="10" t="n">
        <v>1.903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0"/>
  </cols>
  <sheetData>
    <row r="1" customFormat="false" ht="31.5" hidden="false" customHeight="true" outlineLevel="0" collapsed="false">
      <c r="A1" s="8" t="s">
        <v>651</v>
      </c>
      <c r="B1" s="8" t="s">
        <v>652</v>
      </c>
      <c r="C1" s="8" t="s">
        <v>653</v>
      </c>
      <c r="D1" s="8" t="s">
        <v>64</v>
      </c>
      <c r="E1" s="8" t="s">
        <v>71</v>
      </c>
      <c r="F1" s="8" t="s">
        <v>72</v>
      </c>
    </row>
    <row r="2" customFormat="false" ht="15" hidden="false" customHeight="false" outlineLevel="0" collapsed="false">
      <c r="A2" s="12" t="s">
        <v>209</v>
      </c>
      <c r="B2" s="12" t="s">
        <v>654</v>
      </c>
      <c r="C2" s="12" t="s">
        <v>655</v>
      </c>
      <c r="D2" s="9" t="s">
        <v>656</v>
      </c>
      <c r="E2" s="10" t="n">
        <v>4.789</v>
      </c>
      <c r="F2" s="10" t="n">
        <v>56.962</v>
      </c>
    </row>
    <row r="3" customFormat="false" ht="15" hidden="false" customHeight="false" outlineLevel="0" collapsed="false">
      <c r="A3" s="13" t="s">
        <v>449</v>
      </c>
      <c r="B3" s="13" t="s">
        <v>654</v>
      </c>
      <c r="C3" s="13" t="s">
        <v>657</v>
      </c>
      <c r="D3" s="9" t="s">
        <v>658</v>
      </c>
      <c r="E3" s="10" t="n">
        <v>12.493</v>
      </c>
      <c r="F3" s="10" t="n">
        <v>53.785</v>
      </c>
    </row>
    <row r="4" customFormat="false" ht="15" hidden="false" customHeight="false" outlineLevel="0" collapsed="false">
      <c r="A4" s="12" t="s">
        <v>216</v>
      </c>
      <c r="B4" s="12" t="s">
        <v>654</v>
      </c>
      <c r="C4" s="12" t="s">
        <v>655</v>
      </c>
      <c r="D4" s="9" t="s">
        <v>656</v>
      </c>
      <c r="E4" s="10" t="n">
        <v>19.333</v>
      </c>
      <c r="F4" s="10" t="n">
        <v>49.488</v>
      </c>
    </row>
    <row r="5" customFormat="false" ht="15" hidden="false" customHeight="false" outlineLevel="0" collapsed="false">
      <c r="A5" s="13" t="s">
        <v>450</v>
      </c>
      <c r="B5" s="13" t="s">
        <v>654</v>
      </c>
      <c r="C5" s="13" t="s">
        <v>657</v>
      </c>
      <c r="D5" s="9" t="s">
        <v>658</v>
      </c>
      <c r="E5" s="10" t="n">
        <v>24.607</v>
      </c>
      <c r="F5" s="10" t="n">
        <v>43.199</v>
      </c>
    </row>
    <row r="6" customFormat="false" ht="15" hidden="false" customHeight="false" outlineLevel="0" collapsed="false">
      <c r="A6" s="12" t="s">
        <v>221</v>
      </c>
      <c r="B6" s="12" t="s">
        <v>654</v>
      </c>
      <c r="C6" s="12" t="s">
        <v>655</v>
      </c>
      <c r="D6" s="9" t="s">
        <v>656</v>
      </c>
      <c r="E6" s="10" t="n">
        <v>28.823</v>
      </c>
      <c r="F6" s="10" t="n">
        <v>37.067</v>
      </c>
    </row>
    <row r="7" customFormat="false" ht="15" hidden="false" customHeight="false" outlineLevel="0" collapsed="false">
      <c r="A7" s="13" t="s">
        <v>451</v>
      </c>
      <c r="B7" s="13" t="s">
        <v>654</v>
      </c>
      <c r="C7" s="13" t="s">
        <v>657</v>
      </c>
      <c r="D7" s="9" t="s">
        <v>658</v>
      </c>
      <c r="E7" s="10" t="n">
        <v>32.376</v>
      </c>
      <c r="F7" s="10" t="n">
        <v>30.639</v>
      </c>
    </row>
    <row r="8" customFormat="false" ht="15" hidden="false" customHeight="false" outlineLevel="0" collapsed="false">
      <c r="A8" s="12" t="s">
        <v>227</v>
      </c>
      <c r="B8" s="12" t="s">
        <v>654</v>
      </c>
      <c r="C8" s="12" t="s">
        <v>655</v>
      </c>
      <c r="D8" s="9" t="s">
        <v>656</v>
      </c>
      <c r="E8" s="10" t="n">
        <v>33.599</v>
      </c>
      <c r="F8" s="10" t="n">
        <v>22.794</v>
      </c>
    </row>
    <row r="9" customFormat="false" ht="15" hidden="false" customHeight="false" outlineLevel="0" collapsed="false">
      <c r="A9" s="13" t="s">
        <v>452</v>
      </c>
      <c r="B9" s="13" t="s">
        <v>654</v>
      </c>
      <c r="C9" s="13" t="s">
        <v>657</v>
      </c>
      <c r="D9" s="9" t="s">
        <v>658</v>
      </c>
      <c r="E9" s="10" t="n">
        <v>33.973</v>
      </c>
      <c r="F9" s="10" t="n">
        <v>15.241</v>
      </c>
    </row>
    <row r="10" customFormat="false" ht="15" hidden="false" customHeight="false" outlineLevel="0" collapsed="false">
      <c r="A10" s="12" t="s">
        <v>234</v>
      </c>
      <c r="B10" s="12" t="s">
        <v>654</v>
      </c>
      <c r="C10" s="12" t="s">
        <v>655</v>
      </c>
      <c r="D10" s="9" t="s">
        <v>656</v>
      </c>
      <c r="E10" s="10" t="n">
        <v>33.937</v>
      </c>
      <c r="F10" s="10" t="n">
        <v>-15.997</v>
      </c>
    </row>
    <row r="11" customFormat="false" ht="15" hidden="false" customHeight="false" outlineLevel="0" collapsed="false">
      <c r="A11" s="13" t="s">
        <v>453</v>
      </c>
      <c r="B11" s="13" t="s">
        <v>654</v>
      </c>
      <c r="C11" s="13" t="s">
        <v>657</v>
      </c>
      <c r="D11" s="9" t="s">
        <v>658</v>
      </c>
      <c r="E11" s="10" t="n">
        <v>33.459</v>
      </c>
      <c r="F11" s="10" t="n">
        <v>-23.45</v>
      </c>
    </row>
    <row r="12" customFormat="false" ht="15" hidden="false" customHeight="false" outlineLevel="0" collapsed="false">
      <c r="A12" s="12" t="s">
        <v>250</v>
      </c>
      <c r="B12" s="12" t="s">
        <v>654</v>
      </c>
      <c r="C12" s="12" t="s">
        <v>655</v>
      </c>
      <c r="D12" s="9" t="s">
        <v>656</v>
      </c>
      <c r="E12" s="10" t="n">
        <v>32.185</v>
      </c>
      <c r="F12" s="10" t="n">
        <v>-31.508</v>
      </c>
    </row>
    <row r="13" customFormat="false" ht="15" hidden="false" customHeight="false" outlineLevel="0" collapsed="false">
      <c r="A13" s="13" t="s">
        <v>454</v>
      </c>
      <c r="B13" s="13" t="s">
        <v>654</v>
      </c>
      <c r="C13" s="13" t="s">
        <v>657</v>
      </c>
      <c r="D13" s="9" t="s">
        <v>658</v>
      </c>
      <c r="E13" s="10" t="n">
        <v>28.295</v>
      </c>
      <c r="F13" s="10" t="n">
        <v>-37.704</v>
      </c>
    </row>
    <row r="14" customFormat="false" ht="15" hidden="false" customHeight="false" outlineLevel="0" collapsed="false">
      <c r="A14" s="12" t="s">
        <v>257</v>
      </c>
      <c r="B14" s="12" t="s">
        <v>654</v>
      </c>
      <c r="C14" s="12" t="s">
        <v>655</v>
      </c>
      <c r="D14" s="9" t="s">
        <v>656</v>
      </c>
      <c r="E14" s="10" t="n">
        <v>24.226</v>
      </c>
      <c r="F14" s="10" t="n">
        <v>-43.609</v>
      </c>
    </row>
    <row r="15" customFormat="false" ht="15" hidden="false" customHeight="false" outlineLevel="0" collapsed="false">
      <c r="A15" s="13" t="s">
        <v>455</v>
      </c>
      <c r="B15" s="13" t="s">
        <v>654</v>
      </c>
      <c r="C15" s="13" t="s">
        <v>657</v>
      </c>
      <c r="D15" s="9" t="s">
        <v>658</v>
      </c>
      <c r="E15" s="10" t="n">
        <v>18.785</v>
      </c>
      <c r="F15" s="10" t="n">
        <v>-49.813</v>
      </c>
    </row>
    <row r="16" customFormat="false" ht="15" hidden="false" customHeight="false" outlineLevel="0" collapsed="false">
      <c r="A16" s="12" t="s">
        <v>263</v>
      </c>
      <c r="B16" s="12" t="s">
        <v>654</v>
      </c>
      <c r="C16" s="12" t="s">
        <v>655</v>
      </c>
      <c r="D16" s="9" t="s">
        <v>656</v>
      </c>
      <c r="E16" s="10" t="n">
        <v>11.684</v>
      </c>
      <c r="F16" s="10" t="n">
        <v>-54.18</v>
      </c>
    </row>
    <row r="17" customFormat="false" ht="15" hidden="false" customHeight="false" outlineLevel="0" collapsed="false">
      <c r="A17" s="13" t="s">
        <v>456</v>
      </c>
      <c r="B17" s="13" t="s">
        <v>654</v>
      </c>
      <c r="C17" s="13" t="s">
        <v>657</v>
      </c>
      <c r="D17" s="9" t="s">
        <v>658</v>
      </c>
      <c r="E17" s="10" t="n">
        <v>3.607</v>
      </c>
      <c r="F17" s="10" t="n">
        <v>-56.931</v>
      </c>
    </row>
    <row r="18" customFormat="false" ht="15" hidden="false" customHeight="false" outlineLevel="0" collapsed="false">
      <c r="A18" s="12" t="s">
        <v>268</v>
      </c>
      <c r="B18" s="12" t="s">
        <v>654</v>
      </c>
      <c r="C18" s="12" t="s">
        <v>655</v>
      </c>
      <c r="D18" s="9" t="s">
        <v>656</v>
      </c>
      <c r="E18" s="10" t="n">
        <v>-4.739</v>
      </c>
      <c r="F18" s="10" t="n">
        <v>-56.922</v>
      </c>
    </row>
    <row r="19" customFormat="false" ht="15" hidden="false" customHeight="false" outlineLevel="0" collapsed="false">
      <c r="A19" s="13" t="s">
        <v>457</v>
      </c>
      <c r="B19" s="13" t="s">
        <v>654</v>
      </c>
      <c r="C19" s="13" t="s">
        <v>657</v>
      </c>
      <c r="D19" s="9" t="s">
        <v>658</v>
      </c>
      <c r="E19" s="10" t="n">
        <v>-12.579</v>
      </c>
      <c r="F19" s="10" t="n">
        <v>-53.966</v>
      </c>
    </row>
    <row r="20" customFormat="false" ht="15" hidden="false" customHeight="false" outlineLevel="0" collapsed="false">
      <c r="A20" s="12" t="s">
        <v>273</v>
      </c>
      <c r="B20" s="12" t="s">
        <v>654</v>
      </c>
      <c r="C20" s="12" t="s">
        <v>655</v>
      </c>
      <c r="D20" s="9" t="s">
        <v>656</v>
      </c>
      <c r="E20" s="10" t="n">
        <v>-19.292</v>
      </c>
      <c r="F20" s="10" t="n">
        <v>-49.351</v>
      </c>
    </row>
    <row r="21" customFormat="false" ht="15" hidden="false" customHeight="false" outlineLevel="0" collapsed="false">
      <c r="A21" s="13" t="s">
        <v>458</v>
      </c>
      <c r="B21" s="13" t="s">
        <v>654</v>
      </c>
      <c r="C21" s="13" t="s">
        <v>657</v>
      </c>
      <c r="D21" s="9" t="s">
        <v>658</v>
      </c>
      <c r="E21" s="10" t="n">
        <v>-24.642</v>
      </c>
      <c r="F21" s="10" t="n">
        <v>-43.172</v>
      </c>
    </row>
    <row r="22" customFormat="false" ht="15" hidden="false" customHeight="false" outlineLevel="0" collapsed="false">
      <c r="A22" s="12" t="s">
        <v>278</v>
      </c>
      <c r="B22" s="12" t="s">
        <v>654</v>
      </c>
      <c r="C22" s="12" t="s">
        <v>655</v>
      </c>
      <c r="D22" s="9" t="s">
        <v>656</v>
      </c>
      <c r="E22" s="10" t="n">
        <v>-29.017</v>
      </c>
      <c r="F22" s="10" t="n">
        <v>-36.725</v>
      </c>
    </row>
    <row r="23" customFormat="false" ht="15" hidden="false" customHeight="false" outlineLevel="0" collapsed="false">
      <c r="A23" s="13" t="s">
        <v>459</v>
      </c>
      <c r="B23" s="13" t="s">
        <v>654</v>
      </c>
      <c r="C23" s="13" t="s">
        <v>657</v>
      </c>
      <c r="D23" s="9" t="s">
        <v>658</v>
      </c>
      <c r="E23" s="10" t="n">
        <v>-32.457</v>
      </c>
      <c r="F23" s="10" t="n">
        <v>-29.988</v>
      </c>
    </row>
    <row r="24" customFormat="false" ht="15" hidden="false" customHeight="false" outlineLevel="0" collapsed="false">
      <c r="A24" s="12" t="s">
        <v>284</v>
      </c>
      <c r="B24" s="12" t="s">
        <v>654</v>
      </c>
      <c r="C24" s="12" t="s">
        <v>655</v>
      </c>
      <c r="D24" s="9" t="s">
        <v>656</v>
      </c>
      <c r="E24" s="10" t="n">
        <v>-33.549</v>
      </c>
      <c r="F24" s="10" t="n">
        <v>-22.073</v>
      </c>
    </row>
    <row r="25" customFormat="false" ht="15" hidden="false" customHeight="false" outlineLevel="0" collapsed="false">
      <c r="A25" s="13" t="s">
        <v>460</v>
      </c>
      <c r="B25" s="13" t="s">
        <v>654</v>
      </c>
      <c r="C25" s="13" t="s">
        <v>657</v>
      </c>
      <c r="D25" s="9" t="s">
        <v>658</v>
      </c>
      <c r="E25" s="10" t="n">
        <v>-33.849</v>
      </c>
      <c r="F25" s="10" t="n">
        <v>-14.646</v>
      </c>
    </row>
    <row r="26" customFormat="false" ht="15" hidden="false" customHeight="false" outlineLevel="0" collapsed="false">
      <c r="A26" s="12" t="s">
        <v>290</v>
      </c>
      <c r="B26" s="12" t="s">
        <v>654</v>
      </c>
      <c r="C26" s="12" t="s">
        <v>655</v>
      </c>
      <c r="D26" s="9" t="s">
        <v>656</v>
      </c>
      <c r="E26" s="10" t="n">
        <v>-33.875</v>
      </c>
      <c r="F26" s="10" t="n">
        <v>15.24</v>
      </c>
    </row>
    <row r="27" customFormat="false" ht="15" hidden="false" customHeight="false" outlineLevel="0" collapsed="false">
      <c r="A27" s="13" t="s">
        <v>461</v>
      </c>
      <c r="B27" s="13" t="s">
        <v>654</v>
      </c>
      <c r="C27" s="13" t="s">
        <v>657</v>
      </c>
      <c r="D27" s="9" t="s">
        <v>658</v>
      </c>
      <c r="E27" s="10" t="n">
        <v>-33.61</v>
      </c>
      <c r="F27" s="10" t="n">
        <v>22.792</v>
      </c>
    </row>
    <row r="28" customFormat="false" ht="15" hidden="false" customHeight="false" outlineLevel="0" collapsed="false">
      <c r="A28" s="12" t="s">
        <v>305</v>
      </c>
      <c r="B28" s="12" t="s">
        <v>654</v>
      </c>
      <c r="C28" s="12" t="s">
        <v>655</v>
      </c>
      <c r="D28" s="9" t="s">
        <v>656</v>
      </c>
      <c r="E28" s="10" t="n">
        <v>-32.394</v>
      </c>
      <c r="F28" s="10" t="n">
        <v>30.63</v>
      </c>
    </row>
    <row r="29" customFormat="false" ht="15" hidden="false" customHeight="false" outlineLevel="0" collapsed="false">
      <c r="A29" s="13" t="s">
        <v>462</v>
      </c>
      <c r="B29" s="13" t="s">
        <v>654</v>
      </c>
      <c r="C29" s="13" t="s">
        <v>657</v>
      </c>
      <c r="D29" s="9" t="s">
        <v>658</v>
      </c>
      <c r="E29" s="10" t="n">
        <v>-28.739</v>
      </c>
      <c r="F29" s="10" t="n">
        <v>37.284</v>
      </c>
    </row>
    <row r="30" customFormat="false" ht="15" hidden="false" customHeight="false" outlineLevel="0" collapsed="false">
      <c r="A30" s="12" t="s">
        <v>311</v>
      </c>
      <c r="B30" s="12" t="s">
        <v>654</v>
      </c>
      <c r="C30" s="12" t="s">
        <v>655</v>
      </c>
      <c r="D30" s="9" t="s">
        <v>656</v>
      </c>
      <c r="E30" s="10" t="n">
        <v>-24.298</v>
      </c>
      <c r="F30" s="10" t="n">
        <v>43.795</v>
      </c>
    </row>
    <row r="31" customFormat="false" ht="15" hidden="false" customHeight="false" outlineLevel="0" collapsed="false">
      <c r="A31" s="13" t="s">
        <v>463</v>
      </c>
      <c r="B31" s="13" t="s">
        <v>654</v>
      </c>
      <c r="C31" s="13" t="s">
        <v>657</v>
      </c>
      <c r="D31" s="9" t="s">
        <v>658</v>
      </c>
      <c r="E31" s="10" t="n">
        <v>-18.74</v>
      </c>
      <c r="F31" s="10" t="n">
        <v>49.921</v>
      </c>
    </row>
    <row r="32" customFormat="false" ht="15" hidden="false" customHeight="false" outlineLevel="0" collapsed="false">
      <c r="A32" s="12" t="s">
        <v>317</v>
      </c>
      <c r="B32" s="12" t="s">
        <v>654</v>
      </c>
      <c r="C32" s="12" t="s">
        <v>655</v>
      </c>
      <c r="D32" s="9" t="s">
        <v>656</v>
      </c>
      <c r="E32" s="10" t="n">
        <v>-11.688</v>
      </c>
      <c r="F32" s="10" t="n">
        <v>54.524</v>
      </c>
    </row>
    <row r="33" customFormat="false" ht="15" hidden="false" customHeight="false" outlineLevel="0" collapsed="false">
      <c r="A33" s="13" t="s">
        <v>448</v>
      </c>
      <c r="B33" s="13" t="s">
        <v>654</v>
      </c>
      <c r="C33" s="13" t="s">
        <v>657</v>
      </c>
      <c r="D33" s="9" t="s">
        <v>658</v>
      </c>
      <c r="E33" s="10" t="n">
        <v>-3.545</v>
      </c>
      <c r="F33" s="10" t="n">
        <v>56.994</v>
      </c>
    </row>
    <row r="34" customFormat="false" ht="15" hidden="false" customHeight="false" outlineLevel="0" collapsed="false">
      <c r="A34" s="12" t="s">
        <v>322</v>
      </c>
      <c r="B34" s="12" t="s">
        <v>659</v>
      </c>
      <c r="C34" s="12" t="s">
        <v>655</v>
      </c>
      <c r="D34" s="9" t="s">
        <v>656</v>
      </c>
      <c r="E34" s="10" t="n">
        <v>3.633</v>
      </c>
      <c r="F34" s="10" t="n">
        <v>43.173</v>
      </c>
    </row>
    <row r="35" customFormat="false" ht="15" hidden="false" customHeight="false" outlineLevel="0" collapsed="false">
      <c r="A35" s="13" t="s">
        <v>465</v>
      </c>
      <c r="B35" s="13" t="s">
        <v>659</v>
      </c>
      <c r="C35" s="13" t="s">
        <v>657</v>
      </c>
      <c r="D35" s="9" t="s">
        <v>658</v>
      </c>
      <c r="E35" s="10" t="n">
        <v>9.439</v>
      </c>
      <c r="F35" s="10" t="n">
        <v>40.632</v>
      </c>
    </row>
    <row r="36" customFormat="false" ht="15" hidden="false" customHeight="false" outlineLevel="0" collapsed="false">
      <c r="A36" s="12" t="s">
        <v>328</v>
      </c>
      <c r="B36" s="12" t="s">
        <v>659</v>
      </c>
      <c r="C36" s="12" t="s">
        <v>655</v>
      </c>
      <c r="D36" s="9" t="s">
        <v>656</v>
      </c>
      <c r="E36" s="10" t="n">
        <v>13.907</v>
      </c>
      <c r="F36" s="10" t="n">
        <v>35.706</v>
      </c>
    </row>
    <row r="37" customFormat="false" ht="15" hidden="false" customHeight="false" outlineLevel="0" collapsed="false">
      <c r="A37" s="12" t="s">
        <v>332</v>
      </c>
      <c r="B37" s="12" t="s">
        <v>659</v>
      </c>
      <c r="C37" s="12" t="s">
        <v>655</v>
      </c>
      <c r="D37" s="9" t="s">
        <v>656</v>
      </c>
      <c r="E37" s="10" t="n">
        <v>16.273</v>
      </c>
      <c r="F37" s="10" t="n">
        <v>28.6</v>
      </c>
    </row>
    <row r="38" customFormat="false" ht="15" hidden="false" customHeight="false" outlineLevel="0" collapsed="false">
      <c r="A38" s="13" t="s">
        <v>442</v>
      </c>
      <c r="B38" s="13" t="s">
        <v>659</v>
      </c>
      <c r="C38" s="13" t="s">
        <v>657</v>
      </c>
      <c r="D38" s="9" t="s">
        <v>658</v>
      </c>
      <c r="E38" s="10" t="n">
        <v>17.065</v>
      </c>
      <c r="F38" s="10" t="n">
        <v>21.962</v>
      </c>
    </row>
    <row r="39" customFormat="false" ht="15" hidden="false" customHeight="false" outlineLevel="0" collapsed="false">
      <c r="A39" s="13" t="s">
        <v>446</v>
      </c>
      <c r="B39" s="13" t="s">
        <v>659</v>
      </c>
      <c r="C39" s="13" t="s">
        <v>657</v>
      </c>
      <c r="D39" s="9" t="s">
        <v>658</v>
      </c>
      <c r="E39" s="10" t="n">
        <v>17.075</v>
      </c>
      <c r="F39" s="10" t="n">
        <v>-22.338</v>
      </c>
    </row>
    <row r="40" customFormat="false" ht="15" hidden="false" customHeight="false" outlineLevel="0" collapsed="false">
      <c r="A40" s="12" t="s">
        <v>368</v>
      </c>
      <c r="B40" s="12" t="s">
        <v>659</v>
      </c>
      <c r="C40" s="12" t="s">
        <v>655</v>
      </c>
      <c r="D40" s="9" t="s">
        <v>656</v>
      </c>
      <c r="E40" s="10" t="n">
        <v>16.148</v>
      </c>
      <c r="F40" s="10" t="n">
        <v>-29.001</v>
      </c>
    </row>
    <row r="41" customFormat="false" ht="15" hidden="false" customHeight="false" outlineLevel="0" collapsed="false">
      <c r="A41" s="12" t="s">
        <v>373</v>
      </c>
      <c r="B41" s="12" t="s">
        <v>659</v>
      </c>
      <c r="C41" s="12" t="s">
        <v>655</v>
      </c>
      <c r="D41" s="9" t="s">
        <v>656</v>
      </c>
      <c r="E41" s="10" t="n">
        <v>13.651</v>
      </c>
      <c r="F41" s="10" t="n">
        <v>-36.261</v>
      </c>
    </row>
    <row r="42" customFormat="false" ht="15" hidden="false" customHeight="false" outlineLevel="0" collapsed="false">
      <c r="A42" s="13" t="s">
        <v>466</v>
      </c>
      <c r="B42" s="13" t="s">
        <v>659</v>
      </c>
      <c r="C42" s="13" t="s">
        <v>657</v>
      </c>
      <c r="D42" s="9" t="s">
        <v>658</v>
      </c>
      <c r="E42" s="10" t="n">
        <v>8.742</v>
      </c>
      <c r="F42" s="10" t="n">
        <v>-40.472</v>
      </c>
    </row>
    <row r="43" customFormat="false" ht="15" hidden="false" customHeight="false" outlineLevel="0" collapsed="false">
      <c r="A43" s="12" t="s">
        <v>378</v>
      </c>
      <c r="B43" s="12" t="s">
        <v>659</v>
      </c>
      <c r="C43" s="12" t="s">
        <v>655</v>
      </c>
      <c r="D43" s="9" t="s">
        <v>656</v>
      </c>
      <c r="E43" s="10" t="n">
        <v>2.753</v>
      </c>
      <c r="F43" s="10" t="n">
        <v>-43.077</v>
      </c>
    </row>
    <row r="44" customFormat="false" ht="15" hidden="false" customHeight="false" outlineLevel="0" collapsed="false">
      <c r="A44" s="13" t="s">
        <v>467</v>
      </c>
      <c r="B44" s="13" t="s">
        <v>659</v>
      </c>
      <c r="C44" s="13" t="s">
        <v>657</v>
      </c>
      <c r="D44" s="9" t="s">
        <v>658</v>
      </c>
      <c r="E44" s="10" t="n">
        <v>-3.581</v>
      </c>
      <c r="F44" s="10" t="n">
        <v>-43.076</v>
      </c>
    </row>
    <row r="45" customFormat="false" ht="15" hidden="false" customHeight="false" outlineLevel="0" collapsed="false">
      <c r="A45" s="12" t="s">
        <v>383</v>
      </c>
      <c r="B45" s="12" t="s">
        <v>659</v>
      </c>
      <c r="C45" s="12" t="s">
        <v>655</v>
      </c>
      <c r="D45" s="9" t="s">
        <v>656</v>
      </c>
      <c r="E45" s="10" t="n">
        <v>-9.391</v>
      </c>
      <c r="F45" s="10" t="n">
        <v>-40.35</v>
      </c>
    </row>
    <row r="46" customFormat="false" ht="15" hidden="false" customHeight="false" outlineLevel="0" collapsed="false">
      <c r="A46" s="13" t="s">
        <v>468</v>
      </c>
      <c r="B46" s="13" t="s">
        <v>659</v>
      </c>
      <c r="C46" s="13" t="s">
        <v>657</v>
      </c>
      <c r="D46" s="9" t="s">
        <v>658</v>
      </c>
      <c r="E46" s="10" t="n">
        <v>-13.829</v>
      </c>
      <c r="F46" s="10" t="n">
        <v>-35.519</v>
      </c>
    </row>
    <row r="47" customFormat="false" ht="15" hidden="false" customHeight="false" outlineLevel="0" collapsed="false">
      <c r="A47" s="13" t="s">
        <v>469</v>
      </c>
      <c r="B47" s="13" t="s">
        <v>659</v>
      </c>
      <c r="C47" s="13" t="s">
        <v>657</v>
      </c>
      <c r="D47" s="9" t="s">
        <v>658</v>
      </c>
      <c r="E47" s="10" t="n">
        <v>-16.257</v>
      </c>
      <c r="F47" s="10" t="n">
        <v>-28.58</v>
      </c>
    </row>
    <row r="48" customFormat="false" ht="15" hidden="false" customHeight="false" outlineLevel="0" collapsed="false">
      <c r="A48" s="12" t="s">
        <v>393</v>
      </c>
      <c r="B48" s="12" t="s">
        <v>659</v>
      </c>
      <c r="C48" s="12" t="s">
        <v>655</v>
      </c>
      <c r="D48" s="9" t="s">
        <v>656</v>
      </c>
      <c r="E48" s="10" t="n">
        <v>-17.015</v>
      </c>
      <c r="F48" s="10" t="n">
        <v>-21.706</v>
      </c>
    </row>
    <row r="49" customFormat="false" ht="15" hidden="false" customHeight="false" outlineLevel="0" collapsed="false">
      <c r="A49" s="12" t="s">
        <v>415</v>
      </c>
      <c r="B49" s="12" t="s">
        <v>659</v>
      </c>
      <c r="C49" s="12" t="s">
        <v>655</v>
      </c>
      <c r="D49" s="9" t="s">
        <v>656</v>
      </c>
      <c r="E49" s="10" t="n">
        <v>-16.969</v>
      </c>
      <c r="F49" s="10" t="n">
        <v>22.082</v>
      </c>
    </row>
    <row r="50" customFormat="false" ht="15" hidden="false" customHeight="false" outlineLevel="0" collapsed="false">
      <c r="A50" s="13" t="s">
        <v>470</v>
      </c>
      <c r="B50" s="13" t="s">
        <v>659</v>
      </c>
      <c r="C50" s="13" t="s">
        <v>657</v>
      </c>
      <c r="D50" s="9" t="s">
        <v>658</v>
      </c>
      <c r="E50" s="10" t="n">
        <v>-16.149</v>
      </c>
      <c r="F50" s="10" t="n">
        <v>29.232</v>
      </c>
    </row>
    <row r="51" customFormat="false" ht="15" hidden="false" customHeight="false" outlineLevel="0" collapsed="false">
      <c r="A51" s="13" t="s">
        <v>471</v>
      </c>
      <c r="B51" s="13" t="s">
        <v>659</v>
      </c>
      <c r="C51" s="13" t="s">
        <v>657</v>
      </c>
      <c r="D51" s="9" t="s">
        <v>658</v>
      </c>
      <c r="E51" s="10" t="n">
        <v>-13.55</v>
      </c>
      <c r="F51" s="10" t="n">
        <v>36.202</v>
      </c>
    </row>
    <row r="52" customFormat="false" ht="15" hidden="false" customHeight="false" outlineLevel="0" collapsed="false">
      <c r="A52" s="12" t="s">
        <v>431</v>
      </c>
      <c r="B52" s="12" t="s">
        <v>659</v>
      </c>
      <c r="C52" s="12" t="s">
        <v>655</v>
      </c>
      <c r="D52" s="9" t="s">
        <v>656</v>
      </c>
      <c r="E52" s="10" t="n">
        <v>-8.725</v>
      </c>
      <c r="F52" s="10" t="n">
        <v>40.683</v>
      </c>
    </row>
    <row r="53" customFormat="false" ht="15" hidden="false" customHeight="false" outlineLevel="0" collapsed="false">
      <c r="A53" s="13" t="s">
        <v>464</v>
      </c>
      <c r="B53" s="13" t="s">
        <v>659</v>
      </c>
      <c r="C53" s="13" t="s">
        <v>657</v>
      </c>
      <c r="D53" s="9" t="s">
        <v>658</v>
      </c>
      <c r="E53" s="10" t="n">
        <v>-2.731</v>
      </c>
      <c r="F53" s="10" t="n">
        <v>43.162</v>
      </c>
    </row>
    <row r="54" customFormat="false" ht="15" hidden="false" customHeight="false" outlineLevel="0" collapsed="false">
      <c r="A54" s="12" t="s">
        <v>427</v>
      </c>
      <c r="B54" s="12" t="s">
        <v>660</v>
      </c>
      <c r="C54" s="12" t="s">
        <v>655</v>
      </c>
      <c r="D54" s="9" t="s">
        <v>656</v>
      </c>
      <c r="E54" s="10" t="n">
        <v>-14.549</v>
      </c>
      <c r="F54" s="10" t="n">
        <v>33.482</v>
      </c>
    </row>
    <row r="55" customFormat="false" ht="15" hidden="false" customHeight="false" outlineLevel="0" collapsed="false">
      <c r="A55" s="13" t="s">
        <v>441</v>
      </c>
      <c r="B55" s="13" t="s">
        <v>660</v>
      </c>
      <c r="C55" s="13" t="s">
        <v>657</v>
      </c>
      <c r="D55" s="9" t="s">
        <v>658</v>
      </c>
      <c r="E55" s="10" t="n">
        <v>14.655</v>
      </c>
      <c r="F55" s="10" t="n">
        <v>33.482</v>
      </c>
    </row>
    <row r="56" customFormat="false" ht="15" hidden="false" customHeight="false" outlineLevel="0" collapsed="false">
      <c r="A56" s="12" t="s">
        <v>337</v>
      </c>
      <c r="B56" s="12" t="s">
        <v>660</v>
      </c>
      <c r="C56" s="12" t="s">
        <v>655</v>
      </c>
      <c r="D56" s="9" t="s">
        <v>656</v>
      </c>
      <c r="E56" s="10" t="n">
        <v>17.04</v>
      </c>
      <c r="F56" s="10" t="n">
        <v>6.715</v>
      </c>
    </row>
    <row r="57" customFormat="false" ht="15" hidden="false" customHeight="false" outlineLevel="0" collapsed="false">
      <c r="A57" s="13" t="s">
        <v>443</v>
      </c>
      <c r="B57" s="13" t="s">
        <v>660</v>
      </c>
      <c r="C57" s="13" t="s">
        <v>657</v>
      </c>
      <c r="D57" s="9" t="s">
        <v>658</v>
      </c>
      <c r="E57" s="10" t="n">
        <v>-17.042</v>
      </c>
      <c r="F57" s="10" t="n">
        <v>6.646</v>
      </c>
    </row>
    <row r="58" customFormat="false" ht="15" hidden="false" customHeight="false" outlineLevel="0" collapsed="false">
      <c r="A58" s="13" t="s">
        <v>444</v>
      </c>
      <c r="B58" s="13" t="s">
        <v>660</v>
      </c>
      <c r="C58" s="13" t="s">
        <v>657</v>
      </c>
      <c r="D58" s="9" t="s">
        <v>658</v>
      </c>
      <c r="E58" s="10" t="n">
        <v>17.08</v>
      </c>
      <c r="F58" s="10" t="n">
        <v>0.066</v>
      </c>
    </row>
    <row r="59" customFormat="false" ht="15" hidden="false" customHeight="false" outlineLevel="0" collapsed="false">
      <c r="A59" s="12" t="s">
        <v>405</v>
      </c>
      <c r="B59" s="12" t="s">
        <v>660</v>
      </c>
      <c r="C59" s="12" t="s">
        <v>655</v>
      </c>
      <c r="D59" s="9" t="s">
        <v>656</v>
      </c>
      <c r="E59" s="10" t="n">
        <v>-17.042</v>
      </c>
      <c r="F59" s="10" t="n">
        <v>0</v>
      </c>
    </row>
    <row r="60" customFormat="false" ht="15" hidden="false" customHeight="false" outlineLevel="0" collapsed="false">
      <c r="A60" s="13" t="s">
        <v>445</v>
      </c>
      <c r="B60" s="13" t="s">
        <v>660</v>
      </c>
      <c r="C60" s="13" t="s">
        <v>657</v>
      </c>
      <c r="D60" s="9" t="s">
        <v>658</v>
      </c>
      <c r="E60" s="10" t="n">
        <v>-17.041</v>
      </c>
      <c r="F60" s="10" t="n">
        <v>-6.58</v>
      </c>
    </row>
    <row r="61" customFormat="false" ht="15" hidden="false" customHeight="false" outlineLevel="0" collapsed="false">
      <c r="A61" s="12" t="s">
        <v>352</v>
      </c>
      <c r="B61" s="12" t="s">
        <v>660</v>
      </c>
      <c r="C61" s="12" t="s">
        <v>655</v>
      </c>
      <c r="D61" s="9" t="s">
        <v>656</v>
      </c>
      <c r="E61" s="10" t="n">
        <v>17.042</v>
      </c>
      <c r="F61" s="10" t="n">
        <v>-6.649</v>
      </c>
    </row>
    <row r="62" customFormat="false" ht="15" hidden="false" customHeight="false" outlineLevel="0" collapsed="false">
      <c r="A62" s="13" t="s">
        <v>447</v>
      </c>
      <c r="B62" s="13" t="s">
        <v>660</v>
      </c>
      <c r="C62" s="13" t="s">
        <v>657</v>
      </c>
      <c r="D62" s="9" t="s">
        <v>658</v>
      </c>
      <c r="E62" s="10" t="n">
        <v>14.655</v>
      </c>
      <c r="F62" s="10" t="n">
        <v>-33.477</v>
      </c>
    </row>
    <row r="63" customFormat="false" ht="15" hidden="false" customHeight="false" outlineLevel="0" collapsed="false">
      <c r="A63" s="12" t="s">
        <v>389</v>
      </c>
      <c r="B63" s="12" t="s">
        <v>660</v>
      </c>
      <c r="C63" s="12" t="s">
        <v>655</v>
      </c>
      <c r="D63" s="9" t="s">
        <v>656</v>
      </c>
      <c r="E63" s="10" t="n">
        <v>-14.549</v>
      </c>
      <c r="F63" s="10" t="n">
        <v>-33.477</v>
      </c>
    </row>
    <row r="64" customFormat="false" ht="15" hidden="false" customHeight="false" outlineLevel="0" collapsed="false">
      <c r="A64" s="12" t="s">
        <v>75</v>
      </c>
      <c r="B64" s="12" t="s">
        <v>661</v>
      </c>
      <c r="C64" s="12" t="s">
        <v>655</v>
      </c>
      <c r="D64" s="9" t="s">
        <v>656</v>
      </c>
      <c r="E64" s="10" t="n">
        <v>0.053</v>
      </c>
      <c r="F64" s="10" t="n">
        <v>33.482</v>
      </c>
    </row>
    <row r="65" customFormat="false" ht="15" hidden="false" customHeight="false" outlineLevel="0" collapsed="false">
      <c r="A65" s="12" t="s">
        <v>90</v>
      </c>
      <c r="B65" s="12" t="s">
        <v>661</v>
      </c>
      <c r="C65" s="12" t="s">
        <v>655</v>
      </c>
      <c r="D65" s="9" t="s">
        <v>656</v>
      </c>
      <c r="E65" s="10" t="n">
        <v>0.056</v>
      </c>
      <c r="F65" s="10" t="n">
        <v>21.986</v>
      </c>
    </row>
    <row r="66" customFormat="false" ht="15" hidden="false" customHeight="false" outlineLevel="0" collapsed="false">
      <c r="A66" s="12" t="s">
        <v>111</v>
      </c>
      <c r="B66" s="12" t="s">
        <v>661</v>
      </c>
      <c r="C66" s="12" t="s">
        <v>655</v>
      </c>
      <c r="D66" s="9" t="s">
        <v>656</v>
      </c>
      <c r="E66" s="10" t="n">
        <v>0</v>
      </c>
      <c r="F66" s="10" t="n">
        <v>6.646</v>
      </c>
    </row>
    <row r="67" customFormat="false" ht="15" hidden="false" customHeight="false" outlineLevel="0" collapsed="false">
      <c r="A67" s="12" t="s">
        <v>11</v>
      </c>
      <c r="B67" s="12" t="s">
        <v>661</v>
      </c>
      <c r="C67" s="12" t="s">
        <v>655</v>
      </c>
      <c r="D67" s="9" t="s">
        <v>656</v>
      </c>
      <c r="E67" s="10" t="n">
        <v>0</v>
      </c>
      <c r="F67" s="10" t="n">
        <v>0</v>
      </c>
    </row>
    <row r="68" customFormat="false" ht="15" hidden="false" customHeight="false" outlineLevel="0" collapsed="false">
      <c r="A68" s="12" t="s">
        <v>150</v>
      </c>
      <c r="B68" s="12" t="s">
        <v>661</v>
      </c>
      <c r="C68" s="12" t="s">
        <v>655</v>
      </c>
      <c r="D68" s="9" t="s">
        <v>656</v>
      </c>
      <c r="E68" s="10" t="n">
        <v>0</v>
      </c>
      <c r="F68" s="10" t="n">
        <v>-6.649</v>
      </c>
    </row>
    <row r="69" customFormat="false" ht="15" hidden="false" customHeight="false" outlineLevel="0" collapsed="false">
      <c r="A69" s="12" t="s">
        <v>176</v>
      </c>
      <c r="B69" s="12" t="s">
        <v>661</v>
      </c>
      <c r="C69" s="12" t="s">
        <v>655</v>
      </c>
      <c r="D69" s="9" t="s">
        <v>656</v>
      </c>
      <c r="E69" s="10" t="n">
        <v>0.033</v>
      </c>
      <c r="F69" s="10" t="n">
        <v>-21.989</v>
      </c>
    </row>
    <row r="70" customFormat="false" ht="15" hidden="false" customHeight="false" outlineLevel="0" collapsed="false">
      <c r="A70" s="12" t="s">
        <v>197</v>
      </c>
      <c r="B70" s="12" t="s">
        <v>661</v>
      </c>
      <c r="C70" s="12" t="s">
        <v>655</v>
      </c>
      <c r="D70" s="9" t="s">
        <v>656</v>
      </c>
      <c r="E70" s="10" t="n">
        <v>0.053</v>
      </c>
      <c r="F70" s="10" t="n">
        <v>-33.477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2026-10-28T23:52:28Z</dcterms:created>
  <dc:creator>openpyxl</dc:creator>
  <dc:description/>
  <dc:language>en-US</dc:language>
  <cp:lastModifiedBy/>
  <dcterms:modified xsi:type="dcterms:W3CDTF">2026-10-28T23:52:28Z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